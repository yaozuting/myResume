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210902dd5514995/桌面/profile/Resume/public/files/"/>
    </mc:Choice>
  </mc:AlternateContent>
  <xr:revisionPtr revIDLastSave="79019" documentId="8_{7CB72CD9-E219-4FA2-9FFD-6F0B0CE36852}" xr6:coauthVersionLast="47" xr6:coauthVersionMax="47" xr10:uidLastSave="{BED23F0B-3D40-44FD-9C37-6E492082F2EE}"/>
  <bookViews>
    <workbookView xWindow="-96" yWindow="0" windowWidth="11712" windowHeight="12336" firstSheet="2" activeTab="2" xr2:uid="{172F9E32-0A3B-4812-9203-697D3B44E521}"/>
  </bookViews>
  <sheets>
    <sheet name="原始資料" sheetId="1" r:id="rId1"/>
    <sheet name="區隔" sheetId="28" r:id="rId2"/>
    <sheet name="filter table" sheetId="36" r:id="rId3"/>
    <sheet name="Pivot table" sheetId="32" r:id="rId4"/>
    <sheet name="視覺化" sheetId="16" r:id="rId5"/>
  </sheets>
  <functionGroups builtInGroupCount="19"/>
  <definedNames>
    <definedName name="_xleta.CEILING" hidden="1" xlm="1">#NAME?</definedName>
    <definedName name="_xleta.COUNT" hidden="1" xlm="1">#NAME?</definedName>
    <definedName name="_xleta.FIND" hidden="1" xlm="1">#NAME?</definedName>
    <definedName name="_xleta.GROUPBY" hidden="1" xlm="1">#NAME?</definedName>
    <definedName name="_xleta.SEQUENCE" hidden="1" xlm="1">#NAME?</definedName>
    <definedName name="_xleta.T" hidden="1" xlm="1">#NAME?</definedName>
    <definedName name="_xleta.TEXT" hidden="1" xlm="1">#NAME?</definedName>
    <definedName name="_xleta.TEXTAFTER" hidden="1" xlm="1">#NAME?</definedName>
    <definedName name="_xleta.XLOOKUP" hidden="1" xlm="1">#NAME?</definedName>
    <definedName name="Slicer_區">#N/A</definedName>
    <definedName name="source_data">原始資料!$A$1:$R$201</definedName>
    <definedName name="tbl_rent">'filter table'!$A$1:$R$201</definedName>
    <definedName name="tblRent">'filter table'!$A$1:$R$201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 a="1"/>
  <c r="R3" i="1" s="1"/>
  <c r="J3" i="1" a="1"/>
  <c r="K3" i="1" a="1"/>
  <c r="L3" i="1" a="1"/>
  <c r="M3" i="1"/>
  <c r="N3" i="1" s="1"/>
  <c r="P3" i="1" s="1"/>
  <c r="O3" i="1"/>
  <c r="Q3" i="1"/>
  <c r="H4" i="1" a="1"/>
  <c r="R4" i="1" s="1"/>
  <c r="J4" i="1" a="1"/>
  <c r="K4" i="1" a="1"/>
  <c r="L4" i="1" a="1"/>
  <c r="M4" i="1"/>
  <c r="N4" i="1" s="1"/>
  <c r="P4" i="1" s="1"/>
  <c r="O4" i="1"/>
  <c r="Q4" i="1"/>
  <c r="H5" i="1" a="1"/>
  <c r="R5" i="1" s="1"/>
  <c r="J5" i="1" a="1"/>
  <c r="K5" i="1" a="1"/>
  <c r="L5" i="1" a="1"/>
  <c r="M5" i="1"/>
  <c r="N5" i="1" s="1"/>
  <c r="P5" i="1" s="1"/>
  <c r="O5" i="1"/>
  <c r="Q5" i="1"/>
  <c r="H6" i="1" a="1"/>
  <c r="R6" i="1" s="1"/>
  <c r="J6" i="1" a="1"/>
  <c r="K6" i="1" a="1"/>
  <c r="L6" i="1" a="1"/>
  <c r="M6" i="1"/>
  <c r="N6" i="1" s="1"/>
  <c r="P6" i="1" s="1"/>
  <c r="O6" i="1"/>
  <c r="Q6" i="1"/>
  <c r="H7" i="1" a="1"/>
  <c r="R7" i="1" s="1"/>
  <c r="J7" i="1" a="1"/>
  <c r="K7" i="1" a="1"/>
  <c r="L7" i="1" a="1"/>
  <c r="M7" i="1"/>
  <c r="N7" i="1" s="1"/>
  <c r="P7" i="1" s="1"/>
  <c r="O7" i="1"/>
  <c r="Q7" i="1"/>
  <c r="H8" i="1" a="1"/>
  <c r="R8" i="1" s="1"/>
  <c r="J8" i="1" a="1"/>
  <c r="K8" i="1" a="1"/>
  <c r="L8" i="1" a="1"/>
  <c r="M8" i="1"/>
  <c r="N8" i="1" s="1"/>
  <c r="P8" i="1" s="1"/>
  <c r="O8" i="1"/>
  <c r="Q8" i="1"/>
  <c r="H9" i="1" a="1"/>
  <c r="R9" i="1" s="1"/>
  <c r="J9" i="1" a="1"/>
  <c r="K9" i="1" a="1"/>
  <c r="L9" i="1" a="1"/>
  <c r="M9" i="1"/>
  <c r="N9" i="1" s="1"/>
  <c r="P9" i="1" s="1"/>
  <c r="O9" i="1"/>
  <c r="Q9" i="1"/>
  <c r="H10" i="1" a="1"/>
  <c r="R10" i="1" s="1"/>
  <c r="J10" i="1" a="1"/>
  <c r="K10" i="1" a="1"/>
  <c r="L10" i="1" a="1"/>
  <c r="M10" i="1"/>
  <c r="N10" i="1" s="1"/>
  <c r="P10" i="1" s="1"/>
  <c r="O10" i="1"/>
  <c r="Q10" i="1"/>
  <c r="H11" i="1" a="1"/>
  <c r="R11" i="1" s="1"/>
  <c r="J11" i="1" a="1"/>
  <c r="K11" i="1" a="1"/>
  <c r="L11" i="1" a="1"/>
  <c r="M11" i="1"/>
  <c r="N11" i="1" s="1"/>
  <c r="P11" i="1" s="1"/>
  <c r="O11" i="1"/>
  <c r="Q11" i="1"/>
  <c r="H12" i="1" a="1"/>
  <c r="R12" i="1" s="1"/>
  <c r="J12" i="1" a="1"/>
  <c r="K12" i="1" a="1"/>
  <c r="L12" i="1" a="1"/>
  <c r="M12" i="1"/>
  <c r="N12" i="1" s="1"/>
  <c r="P12" i="1" s="1"/>
  <c r="O12" i="1"/>
  <c r="Q12" i="1"/>
  <c r="H13" i="1" a="1"/>
  <c r="R13" i="1" s="1"/>
  <c r="J13" i="1" a="1"/>
  <c r="K13" i="1" a="1"/>
  <c r="L13" i="1" a="1"/>
  <c r="M13" i="1"/>
  <c r="N13" i="1" s="1"/>
  <c r="P13" i="1" s="1"/>
  <c r="O13" i="1"/>
  <c r="Q13" i="1"/>
  <c r="H14" i="1" a="1"/>
  <c r="R14" i="1" s="1"/>
  <c r="J14" i="1" a="1"/>
  <c r="K14" i="1" a="1"/>
  <c r="L14" i="1" a="1"/>
  <c r="M14" i="1"/>
  <c r="N14" i="1" s="1"/>
  <c r="P14" i="1" s="1"/>
  <c r="O14" i="1"/>
  <c r="Q14" i="1"/>
  <c r="H15" i="1" a="1"/>
  <c r="R15" i="1" s="1"/>
  <c r="J15" i="1" a="1"/>
  <c r="K15" i="1" a="1"/>
  <c r="L15" i="1" a="1"/>
  <c r="M15" i="1"/>
  <c r="N15" i="1" s="1"/>
  <c r="P15" i="1" s="1"/>
  <c r="O15" i="1"/>
  <c r="Q15" i="1"/>
  <c r="H16" i="1" a="1"/>
  <c r="R16" i="1" s="1"/>
  <c r="J16" i="1" a="1"/>
  <c r="K16" i="1" a="1"/>
  <c r="L16" i="1" a="1"/>
  <c r="M16" i="1"/>
  <c r="N16" i="1" s="1"/>
  <c r="P16" i="1" s="1"/>
  <c r="O16" i="1"/>
  <c r="Q16" i="1"/>
  <c r="H17" i="1" a="1"/>
  <c r="R17" i="1" s="1"/>
  <c r="J17" i="1" a="1"/>
  <c r="K17" i="1" a="1"/>
  <c r="L17" i="1" a="1"/>
  <c r="M17" i="1"/>
  <c r="N17" i="1" s="1"/>
  <c r="P17" i="1" s="1"/>
  <c r="O17" i="1"/>
  <c r="Q17" i="1"/>
  <c r="H18" i="1" a="1"/>
  <c r="R18" i="1" s="1"/>
  <c r="J18" i="1" a="1"/>
  <c r="K18" i="1" a="1"/>
  <c r="L18" i="1" a="1"/>
  <c r="M18" i="1"/>
  <c r="N18" i="1" s="1"/>
  <c r="P18" i="1" s="1"/>
  <c r="O18" i="1"/>
  <c r="Q18" i="1"/>
  <c r="H19" i="1" a="1"/>
  <c r="R19" i="1" s="1"/>
  <c r="J19" i="1" a="1"/>
  <c r="K19" i="1" a="1"/>
  <c r="L19" i="1" a="1"/>
  <c r="M19" i="1"/>
  <c r="N19" i="1" s="1"/>
  <c r="P19" i="1" s="1"/>
  <c r="O19" i="1"/>
  <c r="Q19" i="1"/>
  <c r="H20" i="1" a="1"/>
  <c r="R20" i="1" s="1"/>
  <c r="J20" i="1" a="1"/>
  <c r="K20" i="1" a="1"/>
  <c r="L20" i="1" a="1"/>
  <c r="M20" i="1"/>
  <c r="N20" i="1" s="1"/>
  <c r="P20" i="1" s="1"/>
  <c r="O20" i="1"/>
  <c r="Q20" i="1"/>
  <c r="H21" i="1" a="1"/>
  <c r="R21" i="1" s="1"/>
  <c r="J21" i="1" a="1"/>
  <c r="K21" i="1" a="1"/>
  <c r="L21" i="1" a="1"/>
  <c r="M21" i="1"/>
  <c r="N21" i="1" s="1"/>
  <c r="P21" i="1" s="1"/>
  <c r="O21" i="1"/>
  <c r="Q21" i="1"/>
  <c r="H22" i="1" a="1"/>
  <c r="R22" i="1" s="1"/>
  <c r="J22" i="1" a="1"/>
  <c r="K22" i="1" a="1"/>
  <c r="L22" i="1" a="1"/>
  <c r="M22" i="1"/>
  <c r="N22" i="1" s="1"/>
  <c r="P22" i="1" s="1"/>
  <c r="O22" i="1"/>
  <c r="Q22" i="1"/>
  <c r="H23" i="1" a="1"/>
  <c r="R23" i="1" s="1"/>
  <c r="J23" i="1" a="1"/>
  <c r="K23" i="1" a="1"/>
  <c r="L23" i="1" a="1"/>
  <c r="M23" i="1"/>
  <c r="N23" i="1" s="1"/>
  <c r="P23" i="1" s="1"/>
  <c r="O23" i="1"/>
  <c r="Q23" i="1"/>
  <c r="H24" i="1" a="1"/>
  <c r="R24" i="1" s="1"/>
  <c r="J24" i="1" a="1"/>
  <c r="K24" i="1" a="1"/>
  <c r="L24" i="1" a="1"/>
  <c r="M24" i="1"/>
  <c r="N24" i="1" s="1"/>
  <c r="P24" i="1" s="1"/>
  <c r="O24" i="1"/>
  <c r="Q24" i="1"/>
  <c r="H25" i="1" a="1"/>
  <c r="R25" i="1" s="1"/>
  <c r="J25" i="1" a="1"/>
  <c r="K25" i="1" a="1"/>
  <c r="L25" i="1" a="1"/>
  <c r="M25" i="1"/>
  <c r="N25" i="1" s="1"/>
  <c r="P25" i="1" s="1"/>
  <c r="O25" i="1"/>
  <c r="Q25" i="1"/>
  <c r="H26" i="1" a="1"/>
  <c r="R26" i="1" s="1"/>
  <c r="J26" i="1" a="1"/>
  <c r="K26" i="1" a="1"/>
  <c r="L26" i="1" a="1"/>
  <c r="M26" i="1"/>
  <c r="N26" i="1" s="1"/>
  <c r="P26" i="1" s="1"/>
  <c r="O26" i="1"/>
  <c r="Q26" i="1"/>
  <c r="H27" i="1" a="1"/>
  <c r="R27" i="1" s="1"/>
  <c r="J27" i="1" a="1"/>
  <c r="K27" i="1" a="1"/>
  <c r="L27" i="1" a="1"/>
  <c r="M27" i="1"/>
  <c r="N27" i="1" s="1"/>
  <c r="P27" i="1" s="1"/>
  <c r="O27" i="1"/>
  <c r="Q27" i="1"/>
  <c r="H28" i="1" a="1"/>
  <c r="R28" i="1" s="1"/>
  <c r="J28" i="1" a="1"/>
  <c r="K28" i="1" a="1"/>
  <c r="L28" i="1" a="1"/>
  <c r="M28" i="1"/>
  <c r="N28" i="1" s="1"/>
  <c r="P28" i="1" s="1"/>
  <c r="O28" i="1"/>
  <c r="Q28" i="1"/>
  <c r="H29" i="1" a="1"/>
  <c r="R29" i="1" s="1"/>
  <c r="J29" i="1" a="1"/>
  <c r="K29" i="1" a="1"/>
  <c r="L29" i="1" a="1"/>
  <c r="M29" i="1"/>
  <c r="N29" i="1" s="1"/>
  <c r="P29" i="1" s="1"/>
  <c r="O29" i="1"/>
  <c r="Q29" i="1"/>
  <c r="H30" i="1" a="1"/>
  <c r="R30" i="1" s="1"/>
  <c r="J30" i="1" a="1"/>
  <c r="K30" i="1" a="1"/>
  <c r="L30" i="1" a="1"/>
  <c r="M30" i="1"/>
  <c r="N30" i="1" s="1"/>
  <c r="P30" i="1" s="1"/>
  <c r="O30" i="1"/>
  <c r="Q30" i="1"/>
  <c r="H31" i="1" a="1"/>
  <c r="R31" i="1" s="1"/>
  <c r="J31" i="1" a="1"/>
  <c r="K31" i="1" a="1"/>
  <c r="L31" i="1" a="1"/>
  <c r="M31" i="1"/>
  <c r="N31" i="1" s="1"/>
  <c r="P31" i="1" s="1"/>
  <c r="O31" i="1"/>
  <c r="Q31" i="1"/>
  <c r="H32" i="1" a="1"/>
  <c r="R32" i="1" s="1"/>
  <c r="J32" i="1" a="1"/>
  <c r="K32" i="1" a="1"/>
  <c r="L32" i="1" a="1"/>
  <c r="M32" i="1"/>
  <c r="N32" i="1" s="1"/>
  <c r="P32" i="1" s="1"/>
  <c r="O32" i="1"/>
  <c r="Q32" i="1"/>
  <c r="H33" i="1" a="1"/>
  <c r="R33" i="1" s="1"/>
  <c r="J33" i="1" a="1"/>
  <c r="K33" i="1" a="1"/>
  <c r="L33" i="1" a="1"/>
  <c r="M33" i="1"/>
  <c r="N33" i="1" s="1"/>
  <c r="P33" i="1" s="1"/>
  <c r="O33" i="1"/>
  <c r="Q33" i="1"/>
  <c r="H34" i="1" a="1"/>
  <c r="R34" i="1" s="1"/>
  <c r="J34" i="1" a="1"/>
  <c r="K34" i="1" a="1"/>
  <c r="L34" i="1" a="1"/>
  <c r="M34" i="1"/>
  <c r="N34" i="1" s="1"/>
  <c r="P34" i="1" s="1"/>
  <c r="O34" i="1"/>
  <c r="Q34" i="1"/>
  <c r="H35" i="1" a="1"/>
  <c r="J35" i="1" a="1"/>
  <c r="K35" i="1" a="1"/>
  <c r="L35" i="1" a="1"/>
  <c r="M35" i="1"/>
  <c r="N35" i="1" s="1"/>
  <c r="P35" i="1" s="1"/>
  <c r="O35" i="1"/>
  <c r="Q35" i="1"/>
  <c r="H36" i="1" a="1"/>
  <c r="R36" i="1" s="1"/>
  <c r="J36" i="1" a="1"/>
  <c r="K36" i="1" a="1"/>
  <c r="L36" i="1" a="1"/>
  <c r="M36" i="1"/>
  <c r="N36" i="1" s="1"/>
  <c r="P36" i="1" s="1"/>
  <c r="O36" i="1"/>
  <c r="Q36" i="1"/>
  <c r="H37" i="1" a="1"/>
  <c r="R37" i="1" s="1"/>
  <c r="J37" i="1" a="1"/>
  <c r="K37" i="1" a="1"/>
  <c r="L37" i="1" a="1"/>
  <c r="M37" i="1"/>
  <c r="N37" i="1" s="1"/>
  <c r="P37" i="1" s="1"/>
  <c r="O37" i="1"/>
  <c r="Q37" i="1"/>
  <c r="H38" i="1" a="1"/>
  <c r="J38" i="1" a="1"/>
  <c r="K38" i="1" a="1"/>
  <c r="L38" i="1" a="1"/>
  <c r="M38" i="1"/>
  <c r="N38" i="1" s="1"/>
  <c r="P38" i="1" s="1"/>
  <c r="O38" i="1"/>
  <c r="Q38" i="1"/>
  <c r="H39" i="1" a="1"/>
  <c r="J39" i="1" a="1"/>
  <c r="K39" i="1" a="1"/>
  <c r="L39" i="1" a="1"/>
  <c r="M39" i="1"/>
  <c r="N39" i="1" s="1"/>
  <c r="P39" i="1" s="1"/>
  <c r="O39" i="1"/>
  <c r="Q39" i="1"/>
  <c r="H40" i="1" a="1"/>
  <c r="J40" i="1" a="1"/>
  <c r="K40" i="1" a="1"/>
  <c r="L40" i="1" a="1"/>
  <c r="M40" i="1"/>
  <c r="N40" i="1" s="1"/>
  <c r="P40" i="1" s="1"/>
  <c r="O40" i="1"/>
  <c r="Q40" i="1"/>
  <c r="H41" i="1" a="1"/>
  <c r="J41" i="1" a="1"/>
  <c r="K41" i="1" a="1"/>
  <c r="L41" i="1" a="1"/>
  <c r="M41" i="1"/>
  <c r="N41" i="1" s="1"/>
  <c r="P41" i="1" s="1"/>
  <c r="O41" i="1"/>
  <c r="Q41" i="1"/>
  <c r="R41" i="1"/>
  <c r="H42" i="1" a="1"/>
  <c r="J42" i="1" a="1"/>
  <c r="K42" i="1" a="1"/>
  <c r="L42" i="1" a="1"/>
  <c r="M42" i="1"/>
  <c r="N42" i="1" s="1"/>
  <c r="P42" i="1" s="1"/>
  <c r="O42" i="1"/>
  <c r="Q42" i="1"/>
  <c r="H43" i="1" a="1"/>
  <c r="J43" i="1" a="1"/>
  <c r="K43" i="1" a="1"/>
  <c r="L43" i="1" a="1"/>
  <c r="M43" i="1"/>
  <c r="N43" i="1" s="1"/>
  <c r="P43" i="1" s="1"/>
  <c r="O43" i="1"/>
  <c r="Q43" i="1"/>
  <c r="H44" i="1" a="1"/>
  <c r="J44" i="1" a="1"/>
  <c r="K44" i="1" a="1"/>
  <c r="L44" i="1" a="1"/>
  <c r="M44" i="1"/>
  <c r="N44" i="1" s="1"/>
  <c r="P44" i="1" s="1"/>
  <c r="O44" i="1"/>
  <c r="Q44" i="1"/>
  <c r="H45" i="1" a="1"/>
  <c r="J45" i="1" a="1"/>
  <c r="K45" i="1" a="1"/>
  <c r="L45" i="1" a="1"/>
  <c r="M45" i="1"/>
  <c r="N45" i="1" s="1"/>
  <c r="P45" i="1" s="1"/>
  <c r="O45" i="1"/>
  <c r="Q45" i="1"/>
  <c r="H46" i="1" a="1"/>
  <c r="J46" i="1" a="1"/>
  <c r="K46" i="1" a="1"/>
  <c r="L46" i="1" a="1"/>
  <c r="M46" i="1"/>
  <c r="N46" i="1" s="1"/>
  <c r="P46" i="1" s="1"/>
  <c r="O46" i="1"/>
  <c r="Q46" i="1"/>
  <c r="H47" i="1" a="1"/>
  <c r="J47" i="1" a="1"/>
  <c r="K47" i="1" a="1"/>
  <c r="L47" i="1" a="1"/>
  <c r="M47" i="1"/>
  <c r="N47" i="1" s="1"/>
  <c r="P47" i="1" s="1"/>
  <c r="O47" i="1"/>
  <c r="Q47" i="1"/>
  <c r="H48" i="1" a="1"/>
  <c r="J48" i="1" a="1"/>
  <c r="K48" i="1" a="1"/>
  <c r="L48" i="1" a="1"/>
  <c r="M48" i="1"/>
  <c r="N48" i="1" s="1"/>
  <c r="P48" i="1" s="1"/>
  <c r="O48" i="1"/>
  <c r="Q48" i="1"/>
  <c r="H49" i="1" a="1"/>
  <c r="J49" i="1" a="1"/>
  <c r="K49" i="1" a="1"/>
  <c r="L49" i="1" a="1"/>
  <c r="M49" i="1"/>
  <c r="N49" i="1" s="1"/>
  <c r="P49" i="1" s="1"/>
  <c r="O49" i="1"/>
  <c r="Q49" i="1"/>
  <c r="H50" i="1" a="1"/>
  <c r="J50" i="1" a="1"/>
  <c r="K50" i="1" a="1"/>
  <c r="L50" i="1" a="1"/>
  <c r="M50" i="1"/>
  <c r="N50" i="1" s="1"/>
  <c r="P50" i="1" s="1"/>
  <c r="O50" i="1"/>
  <c r="Q50" i="1"/>
  <c r="R50" i="1"/>
  <c r="H51" i="1" a="1"/>
  <c r="J51" i="1" a="1"/>
  <c r="K51" i="1" a="1"/>
  <c r="L51" i="1" a="1"/>
  <c r="M51" i="1"/>
  <c r="N51" i="1" s="1"/>
  <c r="P51" i="1" s="1"/>
  <c r="O51" i="1"/>
  <c r="Q51" i="1"/>
  <c r="H52" i="1" a="1"/>
  <c r="J52" i="1" a="1"/>
  <c r="K52" i="1" a="1"/>
  <c r="L52" i="1" a="1"/>
  <c r="M52" i="1"/>
  <c r="N52" i="1" s="1"/>
  <c r="P52" i="1" s="1"/>
  <c r="O52" i="1"/>
  <c r="Q52" i="1"/>
  <c r="H53" i="1" a="1"/>
  <c r="J53" i="1" a="1"/>
  <c r="K53" i="1" a="1"/>
  <c r="L53" i="1" a="1"/>
  <c r="M53" i="1"/>
  <c r="N53" i="1" s="1"/>
  <c r="P53" i="1" s="1"/>
  <c r="O53" i="1"/>
  <c r="Q53" i="1"/>
  <c r="H54" i="1" a="1"/>
  <c r="J54" i="1" a="1"/>
  <c r="K54" i="1" a="1"/>
  <c r="L54" i="1" a="1"/>
  <c r="M54" i="1"/>
  <c r="N54" i="1" s="1"/>
  <c r="P54" i="1" s="1"/>
  <c r="O54" i="1"/>
  <c r="Q54" i="1"/>
  <c r="H55" i="1" a="1"/>
  <c r="J55" i="1" a="1"/>
  <c r="K55" i="1" a="1"/>
  <c r="L55" i="1" a="1"/>
  <c r="M55" i="1"/>
  <c r="N55" i="1" s="1"/>
  <c r="P55" i="1" s="1"/>
  <c r="O55" i="1"/>
  <c r="Q55" i="1"/>
  <c r="R55" i="1"/>
  <c r="H56" i="1" a="1"/>
  <c r="J56" i="1" a="1"/>
  <c r="K56" i="1" a="1"/>
  <c r="L56" i="1" a="1"/>
  <c r="M56" i="1"/>
  <c r="N56" i="1" s="1"/>
  <c r="P56" i="1" s="1"/>
  <c r="O56" i="1"/>
  <c r="Q56" i="1"/>
  <c r="H57" i="1" a="1"/>
  <c r="J57" i="1" a="1"/>
  <c r="K57" i="1" a="1"/>
  <c r="L57" i="1" a="1"/>
  <c r="M57" i="1"/>
  <c r="N57" i="1" s="1"/>
  <c r="P57" i="1" s="1"/>
  <c r="O57" i="1"/>
  <c r="Q57" i="1"/>
  <c r="H58" i="1" a="1"/>
  <c r="J58" i="1" a="1"/>
  <c r="K58" i="1" a="1"/>
  <c r="L58" i="1" a="1"/>
  <c r="M58" i="1"/>
  <c r="N58" i="1" s="1"/>
  <c r="P58" i="1" s="1"/>
  <c r="O58" i="1"/>
  <c r="Q58" i="1"/>
  <c r="H59" i="1" a="1"/>
  <c r="J59" i="1" a="1"/>
  <c r="K59" i="1" a="1"/>
  <c r="L59" i="1" a="1"/>
  <c r="M59" i="1"/>
  <c r="N59" i="1" s="1"/>
  <c r="P59" i="1" s="1"/>
  <c r="O59" i="1"/>
  <c r="Q59" i="1"/>
  <c r="H60" i="1" a="1"/>
  <c r="J60" i="1" a="1"/>
  <c r="K60" i="1" a="1"/>
  <c r="L60" i="1" a="1"/>
  <c r="M60" i="1"/>
  <c r="N60" i="1" s="1"/>
  <c r="P60" i="1" s="1"/>
  <c r="O60" i="1"/>
  <c r="Q60" i="1"/>
  <c r="H61" i="1" a="1"/>
  <c r="J61" i="1" a="1"/>
  <c r="K61" i="1" a="1"/>
  <c r="L61" i="1" a="1"/>
  <c r="M61" i="1"/>
  <c r="N61" i="1" s="1"/>
  <c r="P61" i="1" s="1"/>
  <c r="O61" i="1"/>
  <c r="Q61" i="1"/>
  <c r="H62" i="1" a="1"/>
  <c r="J62" i="1" a="1"/>
  <c r="K62" i="1" a="1"/>
  <c r="L62" i="1" a="1"/>
  <c r="M62" i="1"/>
  <c r="N62" i="1" s="1"/>
  <c r="P62" i="1" s="1"/>
  <c r="O62" i="1"/>
  <c r="Q62" i="1"/>
  <c r="R62" i="1"/>
  <c r="H63" i="1" a="1"/>
  <c r="R63" i="1" s="1"/>
  <c r="J63" i="1" a="1"/>
  <c r="K63" i="1" a="1"/>
  <c r="L63" i="1" a="1"/>
  <c r="M63" i="1"/>
  <c r="N63" i="1" s="1"/>
  <c r="P63" i="1" s="1"/>
  <c r="O63" i="1"/>
  <c r="Q63" i="1"/>
  <c r="H64" i="1" a="1"/>
  <c r="J64" i="1" a="1"/>
  <c r="K64" i="1" a="1"/>
  <c r="L64" i="1" a="1"/>
  <c r="M64" i="1"/>
  <c r="N64" i="1" s="1"/>
  <c r="P64" i="1" s="1"/>
  <c r="O64" i="1"/>
  <c r="Q64" i="1"/>
  <c r="H65" i="1" a="1"/>
  <c r="J65" i="1" a="1"/>
  <c r="K65" i="1" a="1"/>
  <c r="L65" i="1" a="1"/>
  <c r="M65" i="1"/>
  <c r="N65" i="1" s="1"/>
  <c r="P65" i="1" s="1"/>
  <c r="O65" i="1"/>
  <c r="Q65" i="1"/>
  <c r="H66" i="1" a="1"/>
  <c r="J66" i="1" a="1"/>
  <c r="K66" i="1" a="1"/>
  <c r="L66" i="1" a="1"/>
  <c r="M66" i="1"/>
  <c r="N66" i="1" s="1"/>
  <c r="P66" i="1" s="1"/>
  <c r="O66" i="1"/>
  <c r="Q66" i="1"/>
  <c r="H67" i="1" a="1"/>
  <c r="J67" i="1" a="1"/>
  <c r="K67" i="1" a="1"/>
  <c r="L67" i="1" a="1"/>
  <c r="M67" i="1"/>
  <c r="N67" i="1" s="1"/>
  <c r="P67" i="1" s="1"/>
  <c r="O67" i="1"/>
  <c r="Q67" i="1"/>
  <c r="H68" i="1" a="1"/>
  <c r="J68" i="1" a="1"/>
  <c r="K68" i="1" a="1"/>
  <c r="L68" i="1" a="1"/>
  <c r="M68" i="1"/>
  <c r="N68" i="1" s="1"/>
  <c r="P68" i="1" s="1"/>
  <c r="O68" i="1"/>
  <c r="Q68" i="1"/>
  <c r="H69" i="1" a="1"/>
  <c r="J69" i="1" a="1"/>
  <c r="K69" i="1" a="1"/>
  <c r="L69" i="1" a="1"/>
  <c r="M69" i="1"/>
  <c r="N69" i="1" s="1"/>
  <c r="P69" i="1" s="1"/>
  <c r="O69" i="1"/>
  <c r="Q69" i="1"/>
  <c r="H70" i="1" a="1"/>
  <c r="R70" i="1" s="1"/>
  <c r="J70" i="1" a="1"/>
  <c r="K70" i="1" a="1"/>
  <c r="L70" i="1" a="1"/>
  <c r="M70" i="1"/>
  <c r="N70" i="1" s="1"/>
  <c r="P70" i="1" s="1"/>
  <c r="O70" i="1"/>
  <c r="Q70" i="1"/>
  <c r="H71" i="1" a="1"/>
  <c r="J71" i="1" a="1"/>
  <c r="K71" i="1" a="1"/>
  <c r="L71" i="1" a="1"/>
  <c r="M71" i="1"/>
  <c r="N71" i="1" s="1"/>
  <c r="P71" i="1" s="1"/>
  <c r="O71" i="1"/>
  <c r="Q71" i="1"/>
  <c r="H72" i="1" a="1"/>
  <c r="J72" i="1" a="1"/>
  <c r="K72" i="1" a="1"/>
  <c r="L72" i="1" a="1"/>
  <c r="M72" i="1"/>
  <c r="N72" i="1" s="1"/>
  <c r="P72" i="1" s="1"/>
  <c r="O72" i="1"/>
  <c r="Q72" i="1"/>
  <c r="H73" i="1" a="1"/>
  <c r="J73" i="1" a="1"/>
  <c r="K73" i="1" a="1"/>
  <c r="L73" i="1" a="1"/>
  <c r="M73" i="1"/>
  <c r="N73" i="1" s="1"/>
  <c r="P73" i="1" s="1"/>
  <c r="O73" i="1"/>
  <c r="Q73" i="1"/>
  <c r="R73" i="1"/>
  <c r="H74" i="1" a="1"/>
  <c r="J74" i="1" a="1"/>
  <c r="K74" i="1" a="1"/>
  <c r="L74" i="1" a="1"/>
  <c r="M74" i="1"/>
  <c r="N74" i="1" s="1"/>
  <c r="P74" i="1" s="1"/>
  <c r="O74" i="1"/>
  <c r="Q74" i="1"/>
  <c r="H75" i="1" a="1"/>
  <c r="J75" i="1" a="1"/>
  <c r="K75" i="1" a="1"/>
  <c r="L75" i="1" a="1"/>
  <c r="M75" i="1"/>
  <c r="N75" i="1" s="1"/>
  <c r="P75" i="1" s="1"/>
  <c r="O75" i="1"/>
  <c r="Q75" i="1"/>
  <c r="R75" i="1"/>
  <c r="H76" i="1" a="1"/>
  <c r="J76" i="1" a="1"/>
  <c r="K76" i="1" a="1"/>
  <c r="L76" i="1" a="1"/>
  <c r="M76" i="1"/>
  <c r="N76" i="1" s="1"/>
  <c r="P76" i="1" s="1"/>
  <c r="O76" i="1"/>
  <c r="Q76" i="1"/>
  <c r="H77" i="1" a="1"/>
  <c r="J77" i="1" a="1"/>
  <c r="K77" i="1" a="1"/>
  <c r="L77" i="1" a="1"/>
  <c r="M77" i="1"/>
  <c r="N77" i="1" s="1"/>
  <c r="P77" i="1" s="1"/>
  <c r="O77" i="1"/>
  <c r="Q77" i="1"/>
  <c r="H78" i="1" a="1"/>
  <c r="J78" i="1" a="1"/>
  <c r="K78" i="1" a="1"/>
  <c r="L78" i="1" a="1"/>
  <c r="M78" i="1"/>
  <c r="N78" i="1" s="1"/>
  <c r="P78" i="1" s="1"/>
  <c r="O78" i="1"/>
  <c r="Q78" i="1"/>
  <c r="R78" i="1"/>
  <c r="H79" i="1" a="1"/>
  <c r="J79" i="1" a="1"/>
  <c r="K79" i="1" a="1"/>
  <c r="L79" i="1" a="1"/>
  <c r="M79" i="1"/>
  <c r="N79" i="1" s="1"/>
  <c r="P79" i="1" s="1"/>
  <c r="O79" i="1"/>
  <c r="Q79" i="1"/>
  <c r="H80" i="1" a="1"/>
  <c r="J80" i="1" a="1"/>
  <c r="K80" i="1" a="1"/>
  <c r="L80" i="1" a="1"/>
  <c r="M80" i="1"/>
  <c r="N80" i="1" s="1"/>
  <c r="P80" i="1" s="1"/>
  <c r="O80" i="1"/>
  <c r="Q80" i="1"/>
  <c r="H81" i="1" a="1"/>
  <c r="J81" i="1" a="1"/>
  <c r="K81" i="1" a="1"/>
  <c r="L81" i="1" a="1"/>
  <c r="M81" i="1"/>
  <c r="N81" i="1" s="1"/>
  <c r="P81" i="1" s="1"/>
  <c r="O81" i="1"/>
  <c r="Q81" i="1"/>
  <c r="H82" i="1" a="1"/>
  <c r="J82" i="1" a="1"/>
  <c r="K82" i="1" a="1"/>
  <c r="L82" i="1" a="1"/>
  <c r="M82" i="1"/>
  <c r="N82" i="1" s="1"/>
  <c r="P82" i="1" s="1"/>
  <c r="O82" i="1"/>
  <c r="Q82" i="1"/>
  <c r="H83" i="1" a="1"/>
  <c r="J83" i="1" a="1"/>
  <c r="K83" i="1" a="1"/>
  <c r="L83" i="1" a="1"/>
  <c r="M83" i="1"/>
  <c r="N83" i="1" s="1"/>
  <c r="P83" i="1" s="1"/>
  <c r="O83" i="1"/>
  <c r="Q83" i="1"/>
  <c r="R83" i="1"/>
  <c r="H84" i="1" a="1"/>
  <c r="J84" i="1" a="1"/>
  <c r="K84" i="1" a="1"/>
  <c r="L84" i="1" a="1"/>
  <c r="M84" i="1"/>
  <c r="N84" i="1" s="1"/>
  <c r="P84" i="1" s="1"/>
  <c r="O84" i="1"/>
  <c r="Q84" i="1"/>
  <c r="H85" i="1" a="1"/>
  <c r="J85" i="1" a="1"/>
  <c r="K85" i="1" a="1"/>
  <c r="L85" i="1" a="1"/>
  <c r="M85" i="1"/>
  <c r="N85" i="1" s="1"/>
  <c r="P85" i="1" s="1"/>
  <c r="O85" i="1"/>
  <c r="Q85" i="1"/>
  <c r="R85" i="1"/>
  <c r="H86" i="1" a="1"/>
  <c r="J86" i="1" a="1"/>
  <c r="K86" i="1" a="1"/>
  <c r="L86" i="1" a="1"/>
  <c r="M86" i="1"/>
  <c r="N86" i="1" s="1"/>
  <c r="P86" i="1" s="1"/>
  <c r="O86" i="1"/>
  <c r="Q86" i="1"/>
  <c r="H87" i="1" a="1"/>
  <c r="J87" i="1" a="1"/>
  <c r="K87" i="1" a="1"/>
  <c r="L87" i="1" a="1"/>
  <c r="M87" i="1"/>
  <c r="N87" i="1" s="1"/>
  <c r="P87" i="1" s="1"/>
  <c r="O87" i="1"/>
  <c r="Q87" i="1"/>
  <c r="H88" i="1" a="1"/>
  <c r="J88" i="1" a="1"/>
  <c r="K88" i="1" a="1"/>
  <c r="L88" i="1" a="1"/>
  <c r="M88" i="1"/>
  <c r="N88" i="1" s="1"/>
  <c r="P88" i="1" s="1"/>
  <c r="O88" i="1"/>
  <c r="Q88" i="1"/>
  <c r="R88" i="1"/>
  <c r="H89" i="1" a="1"/>
  <c r="J89" i="1" a="1"/>
  <c r="K89" i="1" a="1"/>
  <c r="L89" i="1" a="1"/>
  <c r="M89" i="1"/>
  <c r="N89" i="1" s="1"/>
  <c r="P89" i="1" s="1"/>
  <c r="O89" i="1"/>
  <c r="Q89" i="1"/>
  <c r="R89" i="1"/>
  <c r="H90" i="1" a="1"/>
  <c r="J90" i="1" a="1"/>
  <c r="K90" i="1" a="1"/>
  <c r="L90" i="1" a="1"/>
  <c r="M90" i="1"/>
  <c r="N90" i="1" s="1"/>
  <c r="P90" i="1" s="1"/>
  <c r="O90" i="1"/>
  <c r="Q90" i="1"/>
  <c r="H91" i="1" a="1"/>
  <c r="J91" i="1" a="1"/>
  <c r="K91" i="1" a="1"/>
  <c r="L91" i="1" a="1"/>
  <c r="M91" i="1"/>
  <c r="N91" i="1" s="1"/>
  <c r="P91" i="1" s="1"/>
  <c r="O91" i="1"/>
  <c r="Q91" i="1"/>
  <c r="H92" i="1" a="1"/>
  <c r="J92" i="1" a="1"/>
  <c r="K92" i="1" a="1"/>
  <c r="L92" i="1" a="1"/>
  <c r="M92" i="1"/>
  <c r="N92" i="1" s="1"/>
  <c r="P92" i="1" s="1"/>
  <c r="O92" i="1"/>
  <c r="Q92" i="1"/>
  <c r="H93" i="1" a="1"/>
  <c r="J93" i="1" a="1"/>
  <c r="K93" i="1" a="1"/>
  <c r="L93" i="1" a="1"/>
  <c r="M93" i="1"/>
  <c r="N93" i="1" s="1"/>
  <c r="P93" i="1" s="1"/>
  <c r="O93" i="1"/>
  <c r="Q93" i="1"/>
  <c r="R93" i="1"/>
  <c r="H94" i="1" a="1"/>
  <c r="J94" i="1" a="1"/>
  <c r="K94" i="1" a="1"/>
  <c r="L94" i="1" a="1"/>
  <c r="M94" i="1"/>
  <c r="N94" i="1" s="1"/>
  <c r="P94" i="1" s="1"/>
  <c r="O94" i="1"/>
  <c r="Q94" i="1"/>
  <c r="R94" i="1"/>
  <c r="H95" i="1" a="1"/>
  <c r="J95" i="1" a="1"/>
  <c r="K95" i="1" a="1"/>
  <c r="L95" i="1" a="1"/>
  <c r="M95" i="1"/>
  <c r="N95" i="1" s="1"/>
  <c r="P95" i="1" s="1"/>
  <c r="O95" i="1"/>
  <c r="Q95" i="1"/>
  <c r="H96" i="1" a="1"/>
  <c r="J96" i="1" a="1"/>
  <c r="K96" i="1" a="1"/>
  <c r="L96" i="1" a="1"/>
  <c r="M96" i="1"/>
  <c r="N96" i="1" s="1"/>
  <c r="P96" i="1" s="1"/>
  <c r="O96" i="1"/>
  <c r="Q96" i="1"/>
  <c r="R96" i="1"/>
  <c r="H97" i="1" a="1"/>
  <c r="J97" i="1" a="1"/>
  <c r="K97" i="1" a="1"/>
  <c r="L97" i="1" a="1"/>
  <c r="M97" i="1"/>
  <c r="N97" i="1" s="1"/>
  <c r="P97" i="1" s="1"/>
  <c r="O97" i="1"/>
  <c r="Q97" i="1"/>
  <c r="H98" i="1" a="1"/>
  <c r="J98" i="1" a="1"/>
  <c r="K98" i="1" a="1"/>
  <c r="L98" i="1" a="1"/>
  <c r="M98" i="1"/>
  <c r="N98" i="1" s="1"/>
  <c r="P98" i="1" s="1"/>
  <c r="O98" i="1"/>
  <c r="Q98" i="1"/>
  <c r="H99" i="1" a="1"/>
  <c r="R99" i="1" s="1"/>
  <c r="J99" i="1" a="1"/>
  <c r="K99" i="1" a="1"/>
  <c r="L99" i="1" a="1"/>
  <c r="M99" i="1"/>
  <c r="N99" i="1" s="1"/>
  <c r="P99" i="1" s="1"/>
  <c r="O99" i="1"/>
  <c r="Q99" i="1"/>
  <c r="H100" i="1" a="1"/>
  <c r="R100" i="1" s="1"/>
  <c r="J100" i="1" a="1"/>
  <c r="K100" i="1" a="1"/>
  <c r="L100" i="1" a="1"/>
  <c r="M100" i="1"/>
  <c r="N100" i="1" s="1"/>
  <c r="P100" i="1" s="1"/>
  <c r="O100" i="1"/>
  <c r="Q100" i="1"/>
  <c r="H101" i="1" a="1"/>
  <c r="J101" i="1" a="1"/>
  <c r="K101" i="1" a="1"/>
  <c r="L101" i="1" a="1"/>
  <c r="M101" i="1"/>
  <c r="N101" i="1" s="1"/>
  <c r="P101" i="1" s="1"/>
  <c r="O101" i="1"/>
  <c r="Q101" i="1"/>
  <c r="R101" i="1"/>
  <c r="H102" i="1" a="1"/>
  <c r="J102" i="1" a="1"/>
  <c r="K102" i="1" a="1"/>
  <c r="L102" i="1" a="1"/>
  <c r="M102" i="1"/>
  <c r="N102" i="1" s="1"/>
  <c r="P102" i="1" s="1"/>
  <c r="O102" i="1"/>
  <c r="Q102" i="1"/>
  <c r="H103" i="1" a="1"/>
  <c r="J103" i="1" a="1"/>
  <c r="K103" i="1" a="1"/>
  <c r="L103" i="1" a="1"/>
  <c r="M103" i="1"/>
  <c r="N103" i="1" s="1"/>
  <c r="P103" i="1" s="1"/>
  <c r="O103" i="1"/>
  <c r="Q103" i="1"/>
  <c r="H104" i="1" a="1"/>
  <c r="J104" i="1" a="1"/>
  <c r="K104" i="1" a="1"/>
  <c r="L104" i="1" a="1"/>
  <c r="M104" i="1"/>
  <c r="N104" i="1" s="1"/>
  <c r="P104" i="1" s="1"/>
  <c r="O104" i="1"/>
  <c r="Q104" i="1"/>
  <c r="H105" i="1" a="1"/>
  <c r="J105" i="1" a="1"/>
  <c r="K105" i="1" a="1"/>
  <c r="L105" i="1" a="1"/>
  <c r="M105" i="1"/>
  <c r="N105" i="1" s="1"/>
  <c r="P105" i="1" s="1"/>
  <c r="O105" i="1"/>
  <c r="Q105" i="1"/>
  <c r="H106" i="1" a="1"/>
  <c r="J106" i="1" a="1"/>
  <c r="K106" i="1" a="1"/>
  <c r="L106" i="1" a="1"/>
  <c r="M106" i="1"/>
  <c r="N106" i="1" s="1"/>
  <c r="P106" i="1" s="1"/>
  <c r="O106" i="1"/>
  <c r="Q106" i="1"/>
  <c r="H107" i="1" a="1"/>
  <c r="J107" i="1" a="1"/>
  <c r="K107" i="1" a="1"/>
  <c r="L107" i="1" a="1"/>
  <c r="M107" i="1"/>
  <c r="N107" i="1" s="1"/>
  <c r="P107" i="1" s="1"/>
  <c r="O107" i="1"/>
  <c r="Q107" i="1"/>
  <c r="H108" i="1" a="1"/>
  <c r="J108" i="1" a="1"/>
  <c r="K108" i="1" a="1"/>
  <c r="L108" i="1" a="1"/>
  <c r="M108" i="1"/>
  <c r="N108" i="1" s="1"/>
  <c r="P108" i="1" s="1"/>
  <c r="O108" i="1"/>
  <c r="Q108" i="1"/>
  <c r="H109" i="1" a="1"/>
  <c r="J109" i="1" a="1"/>
  <c r="K109" i="1" a="1"/>
  <c r="L109" i="1" a="1"/>
  <c r="M109" i="1"/>
  <c r="N109" i="1" s="1"/>
  <c r="P109" i="1" s="1"/>
  <c r="O109" i="1"/>
  <c r="Q109" i="1"/>
  <c r="R109" i="1"/>
  <c r="H110" i="1" a="1"/>
  <c r="J110" i="1" a="1"/>
  <c r="K110" i="1" a="1"/>
  <c r="L110" i="1" a="1"/>
  <c r="M110" i="1"/>
  <c r="N110" i="1" s="1"/>
  <c r="P110" i="1" s="1"/>
  <c r="O110" i="1"/>
  <c r="Q110" i="1"/>
  <c r="H111" i="1" a="1"/>
  <c r="R111" i="1" s="1"/>
  <c r="J111" i="1" a="1"/>
  <c r="K111" i="1" a="1"/>
  <c r="L111" i="1" a="1"/>
  <c r="M111" i="1"/>
  <c r="N111" i="1" s="1"/>
  <c r="P111" i="1" s="1"/>
  <c r="O111" i="1"/>
  <c r="Q111" i="1"/>
  <c r="H112" i="1" a="1"/>
  <c r="R112" i="1" s="1"/>
  <c r="J112" i="1" a="1"/>
  <c r="K112" i="1" a="1"/>
  <c r="L112" i="1" a="1"/>
  <c r="M112" i="1"/>
  <c r="N112" i="1" s="1"/>
  <c r="P112" i="1" s="1"/>
  <c r="O112" i="1"/>
  <c r="Q112" i="1"/>
  <c r="H113" i="1" a="1"/>
  <c r="J113" i="1" a="1"/>
  <c r="K113" i="1" a="1"/>
  <c r="L113" i="1" a="1"/>
  <c r="M113" i="1"/>
  <c r="N113" i="1" s="1"/>
  <c r="P113" i="1" s="1"/>
  <c r="O113" i="1"/>
  <c r="Q113" i="1"/>
  <c r="H114" i="1" a="1"/>
  <c r="J114" i="1" a="1"/>
  <c r="K114" i="1" a="1"/>
  <c r="L114" i="1" a="1"/>
  <c r="M114" i="1"/>
  <c r="N114" i="1" s="1"/>
  <c r="P114" i="1" s="1"/>
  <c r="O114" i="1"/>
  <c r="Q114" i="1"/>
  <c r="H115" i="1" a="1"/>
  <c r="J115" i="1" a="1"/>
  <c r="K115" i="1" a="1"/>
  <c r="L115" i="1" a="1"/>
  <c r="M115" i="1"/>
  <c r="N115" i="1" s="1"/>
  <c r="P115" i="1" s="1"/>
  <c r="O115" i="1"/>
  <c r="Q115" i="1"/>
  <c r="R115" i="1"/>
  <c r="H116" i="1" a="1"/>
  <c r="J116" i="1" a="1"/>
  <c r="K116" i="1" a="1"/>
  <c r="L116" i="1" a="1"/>
  <c r="M116" i="1"/>
  <c r="N116" i="1" s="1"/>
  <c r="P116" i="1" s="1"/>
  <c r="O116" i="1"/>
  <c r="Q116" i="1"/>
  <c r="R116" i="1"/>
  <c r="H117" i="1" a="1"/>
  <c r="R117" i="1" s="1"/>
  <c r="J117" i="1" a="1"/>
  <c r="K117" i="1" a="1"/>
  <c r="L117" i="1" a="1"/>
  <c r="M117" i="1"/>
  <c r="N117" i="1" s="1"/>
  <c r="P117" i="1" s="1"/>
  <c r="O117" i="1"/>
  <c r="Q117" i="1"/>
  <c r="H118" i="1" a="1"/>
  <c r="R118" i="1" s="1"/>
  <c r="J118" i="1" a="1"/>
  <c r="K118" i="1" a="1"/>
  <c r="L118" i="1" a="1"/>
  <c r="M118" i="1"/>
  <c r="N118" i="1" s="1"/>
  <c r="P118" i="1" s="1"/>
  <c r="O118" i="1"/>
  <c r="Q118" i="1"/>
  <c r="H119" i="1" a="1"/>
  <c r="J119" i="1" a="1"/>
  <c r="K119" i="1" a="1"/>
  <c r="L119" i="1" a="1"/>
  <c r="M119" i="1"/>
  <c r="N119" i="1" s="1"/>
  <c r="P119" i="1" s="1"/>
  <c r="O119" i="1"/>
  <c r="Q119" i="1"/>
  <c r="H120" i="1" a="1"/>
  <c r="R120" i="1" s="1"/>
  <c r="J120" i="1" a="1"/>
  <c r="K120" i="1" a="1"/>
  <c r="L120" i="1" a="1"/>
  <c r="M120" i="1"/>
  <c r="N120" i="1" s="1"/>
  <c r="P120" i="1" s="1"/>
  <c r="O120" i="1"/>
  <c r="Q120" i="1"/>
  <c r="H121" i="1" a="1"/>
  <c r="J121" i="1" a="1"/>
  <c r="K121" i="1" a="1"/>
  <c r="L121" i="1" a="1"/>
  <c r="M121" i="1"/>
  <c r="N121" i="1" s="1"/>
  <c r="P121" i="1" s="1"/>
  <c r="O121" i="1"/>
  <c r="Q121" i="1"/>
  <c r="H122" i="1" a="1"/>
  <c r="J122" i="1" a="1"/>
  <c r="K122" i="1" a="1"/>
  <c r="L122" i="1" a="1"/>
  <c r="M122" i="1"/>
  <c r="N122" i="1" s="1"/>
  <c r="P122" i="1" s="1"/>
  <c r="O122" i="1"/>
  <c r="Q122" i="1"/>
  <c r="R122" i="1"/>
  <c r="H123" i="1" a="1"/>
  <c r="J123" i="1" a="1"/>
  <c r="K123" i="1" a="1"/>
  <c r="L123" i="1" a="1"/>
  <c r="M123" i="1"/>
  <c r="N123" i="1" s="1"/>
  <c r="P123" i="1" s="1"/>
  <c r="O123" i="1"/>
  <c r="Q123" i="1"/>
  <c r="H124" i="1" a="1"/>
  <c r="J124" i="1" a="1"/>
  <c r="K124" i="1" a="1"/>
  <c r="L124" i="1" a="1"/>
  <c r="M124" i="1"/>
  <c r="N124" i="1" s="1"/>
  <c r="P124" i="1" s="1"/>
  <c r="O124" i="1"/>
  <c r="Q124" i="1"/>
  <c r="R124" i="1"/>
  <c r="H125" i="1" a="1"/>
  <c r="J125" i="1" a="1"/>
  <c r="K125" i="1" a="1"/>
  <c r="L125" i="1" a="1"/>
  <c r="M125" i="1"/>
  <c r="N125" i="1" s="1"/>
  <c r="P125" i="1" s="1"/>
  <c r="O125" i="1"/>
  <c r="Q125" i="1"/>
  <c r="R125" i="1"/>
  <c r="H126" i="1" a="1"/>
  <c r="J126" i="1" a="1"/>
  <c r="K126" i="1" a="1"/>
  <c r="L126" i="1" a="1"/>
  <c r="M126" i="1"/>
  <c r="N126" i="1" s="1"/>
  <c r="P126" i="1" s="1"/>
  <c r="O126" i="1"/>
  <c r="Q126" i="1"/>
  <c r="H127" i="1" a="1"/>
  <c r="R127" i="1" s="1"/>
  <c r="J127" i="1" a="1"/>
  <c r="K127" i="1" a="1"/>
  <c r="L127" i="1" a="1"/>
  <c r="M127" i="1"/>
  <c r="N127" i="1" s="1"/>
  <c r="P127" i="1" s="1"/>
  <c r="O127" i="1"/>
  <c r="Q127" i="1"/>
  <c r="H128" i="1" a="1"/>
  <c r="J128" i="1" a="1"/>
  <c r="K128" i="1" a="1"/>
  <c r="L128" i="1" a="1"/>
  <c r="M128" i="1"/>
  <c r="N128" i="1" s="1"/>
  <c r="P128" i="1" s="1"/>
  <c r="O128" i="1"/>
  <c r="Q128" i="1"/>
  <c r="H129" i="1" a="1"/>
  <c r="J129" i="1" a="1"/>
  <c r="K129" i="1" a="1"/>
  <c r="L129" i="1" a="1"/>
  <c r="M129" i="1"/>
  <c r="N129" i="1" s="1"/>
  <c r="P129" i="1" s="1"/>
  <c r="O129" i="1"/>
  <c r="Q129" i="1"/>
  <c r="H130" i="1" a="1"/>
  <c r="J130" i="1" a="1"/>
  <c r="K130" i="1" a="1"/>
  <c r="L130" i="1" a="1"/>
  <c r="M130" i="1"/>
  <c r="N130" i="1" s="1"/>
  <c r="P130" i="1" s="1"/>
  <c r="O130" i="1"/>
  <c r="Q130" i="1"/>
  <c r="H131" i="1" a="1"/>
  <c r="J131" i="1" a="1"/>
  <c r="K131" i="1" a="1"/>
  <c r="L131" i="1" a="1"/>
  <c r="M131" i="1"/>
  <c r="N131" i="1" s="1"/>
  <c r="P131" i="1" s="1"/>
  <c r="O131" i="1"/>
  <c r="Q131" i="1"/>
  <c r="H132" i="1" a="1"/>
  <c r="R132" i="1" s="1"/>
  <c r="J132" i="1" a="1"/>
  <c r="K132" i="1" a="1"/>
  <c r="L132" i="1" a="1"/>
  <c r="M132" i="1"/>
  <c r="N132" i="1" s="1"/>
  <c r="P132" i="1" s="1"/>
  <c r="O132" i="1"/>
  <c r="Q132" i="1"/>
  <c r="H133" i="1" a="1"/>
  <c r="R133" i="1" s="1"/>
  <c r="J133" i="1" a="1"/>
  <c r="K133" i="1" a="1"/>
  <c r="L133" i="1" a="1"/>
  <c r="M133" i="1"/>
  <c r="N133" i="1" s="1"/>
  <c r="P133" i="1" s="1"/>
  <c r="O133" i="1"/>
  <c r="Q133" i="1"/>
  <c r="H134" i="1" a="1"/>
  <c r="J134" i="1" a="1"/>
  <c r="K134" i="1" a="1"/>
  <c r="L134" i="1" a="1"/>
  <c r="M134" i="1"/>
  <c r="N134" i="1" s="1"/>
  <c r="P134" i="1" s="1"/>
  <c r="O134" i="1"/>
  <c r="Q134" i="1"/>
  <c r="H135" i="1" a="1"/>
  <c r="J135" i="1" a="1"/>
  <c r="K135" i="1" a="1"/>
  <c r="L135" i="1" a="1"/>
  <c r="M135" i="1"/>
  <c r="N135" i="1" s="1"/>
  <c r="P135" i="1" s="1"/>
  <c r="O135" i="1"/>
  <c r="Q135" i="1"/>
  <c r="H136" i="1" a="1"/>
  <c r="J136" i="1" a="1"/>
  <c r="K136" i="1" a="1"/>
  <c r="L136" i="1" a="1"/>
  <c r="M136" i="1"/>
  <c r="N136" i="1" s="1"/>
  <c r="P136" i="1" s="1"/>
  <c r="O136" i="1"/>
  <c r="Q136" i="1"/>
  <c r="H137" i="1" a="1"/>
  <c r="J137" i="1" a="1"/>
  <c r="K137" i="1" a="1"/>
  <c r="L137" i="1" a="1"/>
  <c r="M137" i="1"/>
  <c r="N137" i="1" s="1"/>
  <c r="P137" i="1" s="1"/>
  <c r="O137" i="1"/>
  <c r="Q137" i="1"/>
  <c r="H138" i="1" a="1"/>
  <c r="R138" i="1" s="1"/>
  <c r="J138" i="1" a="1"/>
  <c r="K138" i="1" a="1"/>
  <c r="L138" i="1" a="1"/>
  <c r="M138" i="1"/>
  <c r="N138" i="1" s="1"/>
  <c r="P138" i="1" s="1"/>
  <c r="O138" i="1"/>
  <c r="Q138" i="1"/>
  <c r="H139" i="1" a="1"/>
  <c r="J139" i="1" a="1"/>
  <c r="K139" i="1" a="1"/>
  <c r="L139" i="1" a="1"/>
  <c r="M139" i="1"/>
  <c r="N139" i="1"/>
  <c r="O139" i="1"/>
  <c r="P139" i="1"/>
  <c r="Q139" i="1"/>
  <c r="H140" i="1" a="1"/>
  <c r="J140" i="1" a="1"/>
  <c r="K140" i="1" a="1"/>
  <c r="L140" i="1" a="1"/>
  <c r="M140" i="1"/>
  <c r="N140" i="1"/>
  <c r="O140" i="1"/>
  <c r="P140" i="1"/>
  <c r="Q140" i="1"/>
  <c r="R140" i="1"/>
  <c r="H141" i="1" a="1"/>
  <c r="J141" i="1" a="1"/>
  <c r="K141" i="1" a="1"/>
  <c r="L141" i="1" a="1"/>
  <c r="M141" i="1"/>
  <c r="N141" i="1"/>
  <c r="O141" i="1"/>
  <c r="P141" i="1"/>
  <c r="Q141" i="1"/>
  <c r="R141" i="1"/>
  <c r="H142" i="1" a="1"/>
  <c r="J142" i="1" a="1"/>
  <c r="K142" i="1" a="1"/>
  <c r="L142" i="1" a="1"/>
  <c r="M142" i="1"/>
  <c r="N142" i="1"/>
  <c r="O142" i="1"/>
  <c r="P142" i="1"/>
  <c r="Q142" i="1"/>
  <c r="R142" i="1"/>
  <c r="H143" i="1" a="1"/>
  <c r="J143" i="1" a="1"/>
  <c r="K143" i="1" a="1"/>
  <c r="L143" i="1" a="1"/>
  <c r="M143" i="1"/>
  <c r="N143" i="1"/>
  <c r="O143" i="1"/>
  <c r="P143" i="1"/>
  <c r="Q143" i="1"/>
  <c r="R143" i="1"/>
  <c r="H144" i="1" a="1"/>
  <c r="J144" i="1" a="1"/>
  <c r="K144" i="1" a="1"/>
  <c r="L144" i="1" a="1"/>
  <c r="M144" i="1"/>
  <c r="N144" i="1"/>
  <c r="O144" i="1"/>
  <c r="P144" i="1"/>
  <c r="Q144" i="1"/>
  <c r="R144" i="1"/>
  <c r="H145" i="1" a="1"/>
  <c r="J145" i="1" a="1"/>
  <c r="K145" i="1" a="1"/>
  <c r="L145" i="1" a="1"/>
  <c r="M145" i="1"/>
  <c r="N145" i="1"/>
  <c r="O145" i="1"/>
  <c r="P145" i="1"/>
  <c r="Q145" i="1"/>
  <c r="R145" i="1"/>
  <c r="H146" i="1" a="1"/>
  <c r="J146" i="1" a="1"/>
  <c r="K146" i="1" a="1"/>
  <c r="L146" i="1" a="1"/>
  <c r="M146" i="1"/>
  <c r="N146" i="1"/>
  <c r="O146" i="1"/>
  <c r="P146" i="1"/>
  <c r="Q146" i="1"/>
  <c r="R146" i="1"/>
  <c r="H147" i="1" a="1"/>
  <c r="J147" i="1" a="1"/>
  <c r="K147" i="1" a="1"/>
  <c r="L147" i="1" a="1"/>
  <c r="M147" i="1"/>
  <c r="N147" i="1"/>
  <c r="O147" i="1"/>
  <c r="P147" i="1"/>
  <c r="Q147" i="1"/>
  <c r="R147" i="1"/>
  <c r="H148" i="1" a="1"/>
  <c r="J148" i="1" a="1"/>
  <c r="K148" i="1" a="1"/>
  <c r="L148" i="1" a="1"/>
  <c r="M148" i="1"/>
  <c r="N148" i="1"/>
  <c r="O148" i="1"/>
  <c r="P148" i="1"/>
  <c r="Q148" i="1"/>
  <c r="R148" i="1"/>
  <c r="H149" i="1" a="1"/>
  <c r="J149" i="1" a="1"/>
  <c r="K149" i="1" a="1"/>
  <c r="L149" i="1" a="1"/>
  <c r="M149" i="1"/>
  <c r="N149" i="1"/>
  <c r="O149" i="1"/>
  <c r="P149" i="1"/>
  <c r="Q149" i="1"/>
  <c r="R149" i="1"/>
  <c r="H150" i="1" a="1"/>
  <c r="J150" i="1" a="1"/>
  <c r="K150" i="1" a="1"/>
  <c r="L150" i="1" a="1"/>
  <c r="M150" i="1"/>
  <c r="N150" i="1"/>
  <c r="O150" i="1"/>
  <c r="P150" i="1"/>
  <c r="Q150" i="1"/>
  <c r="R150" i="1"/>
  <c r="H151" i="1" a="1"/>
  <c r="J151" i="1" a="1"/>
  <c r="K151" i="1" a="1"/>
  <c r="L151" i="1" a="1"/>
  <c r="M151" i="1"/>
  <c r="N151" i="1"/>
  <c r="O151" i="1"/>
  <c r="P151" i="1"/>
  <c r="Q151" i="1"/>
  <c r="R151" i="1"/>
  <c r="H152" i="1" a="1"/>
  <c r="J152" i="1" a="1"/>
  <c r="K152" i="1" a="1"/>
  <c r="L152" i="1" a="1"/>
  <c r="M152" i="1"/>
  <c r="N152" i="1"/>
  <c r="O152" i="1"/>
  <c r="P152" i="1"/>
  <c r="Q152" i="1"/>
  <c r="R152" i="1"/>
  <c r="H153" i="1" a="1"/>
  <c r="J153" i="1" a="1"/>
  <c r="K153" i="1" a="1"/>
  <c r="L153" i="1" a="1"/>
  <c r="M153" i="1"/>
  <c r="N153" i="1"/>
  <c r="O153" i="1"/>
  <c r="P153" i="1"/>
  <c r="Q153" i="1"/>
  <c r="R153" i="1"/>
  <c r="H154" i="1" a="1"/>
  <c r="J154" i="1" a="1"/>
  <c r="K154" i="1" a="1"/>
  <c r="L154" i="1" a="1"/>
  <c r="M154" i="1"/>
  <c r="N154" i="1"/>
  <c r="O154" i="1"/>
  <c r="P154" i="1"/>
  <c r="Q154" i="1"/>
  <c r="R154" i="1"/>
  <c r="H155" i="1" a="1"/>
  <c r="J155" i="1" a="1"/>
  <c r="K155" i="1" a="1"/>
  <c r="L155" i="1" a="1"/>
  <c r="M155" i="1"/>
  <c r="N155" i="1"/>
  <c r="O155" i="1"/>
  <c r="P155" i="1"/>
  <c r="Q155" i="1"/>
  <c r="R155" i="1"/>
  <c r="H156" i="1" a="1"/>
  <c r="J156" i="1" a="1"/>
  <c r="K156" i="1" a="1"/>
  <c r="L156" i="1" a="1"/>
  <c r="M156" i="1"/>
  <c r="N156" i="1"/>
  <c r="O156" i="1"/>
  <c r="P156" i="1"/>
  <c r="Q156" i="1"/>
  <c r="R156" i="1"/>
  <c r="H157" i="1" a="1"/>
  <c r="J157" i="1" a="1"/>
  <c r="K157" i="1" a="1"/>
  <c r="L157" i="1" a="1"/>
  <c r="M157" i="1"/>
  <c r="N157" i="1"/>
  <c r="O157" i="1"/>
  <c r="P157" i="1"/>
  <c r="Q157" i="1"/>
  <c r="R157" i="1"/>
  <c r="H158" i="1" a="1"/>
  <c r="J158" i="1" a="1"/>
  <c r="K158" i="1" a="1"/>
  <c r="L158" i="1" a="1"/>
  <c r="M158" i="1"/>
  <c r="N158" i="1"/>
  <c r="O158" i="1"/>
  <c r="P158" i="1"/>
  <c r="Q158" i="1"/>
  <c r="R158" i="1"/>
  <c r="H159" i="1" a="1"/>
  <c r="J159" i="1" a="1"/>
  <c r="K159" i="1" a="1"/>
  <c r="L159" i="1" a="1"/>
  <c r="M159" i="1"/>
  <c r="N159" i="1"/>
  <c r="O159" i="1"/>
  <c r="P159" i="1"/>
  <c r="Q159" i="1"/>
  <c r="R159" i="1"/>
  <c r="H160" i="1" a="1"/>
  <c r="J160" i="1" a="1"/>
  <c r="K160" i="1" a="1"/>
  <c r="L160" i="1" a="1"/>
  <c r="M160" i="1"/>
  <c r="N160" i="1"/>
  <c r="O160" i="1"/>
  <c r="P160" i="1"/>
  <c r="Q160" i="1"/>
  <c r="R160" i="1"/>
  <c r="H161" i="1" a="1"/>
  <c r="J161" i="1" a="1"/>
  <c r="K161" i="1" a="1"/>
  <c r="L161" i="1" a="1"/>
  <c r="M161" i="1"/>
  <c r="N161" i="1"/>
  <c r="O161" i="1"/>
  <c r="P161" i="1"/>
  <c r="Q161" i="1"/>
  <c r="R161" i="1"/>
  <c r="H162" i="1" a="1"/>
  <c r="J162" i="1" a="1"/>
  <c r="K162" i="1" a="1"/>
  <c r="L162" i="1" a="1"/>
  <c r="M162" i="1"/>
  <c r="N162" i="1"/>
  <c r="O162" i="1"/>
  <c r="P162" i="1"/>
  <c r="Q162" i="1"/>
  <c r="R162" i="1"/>
  <c r="H163" i="1" a="1"/>
  <c r="J163" i="1" a="1"/>
  <c r="K163" i="1" a="1"/>
  <c r="L163" i="1" a="1"/>
  <c r="M163" i="1"/>
  <c r="N163" i="1"/>
  <c r="O163" i="1"/>
  <c r="P163" i="1"/>
  <c r="Q163" i="1"/>
  <c r="R163" i="1"/>
  <c r="H164" i="1" a="1"/>
  <c r="J164" i="1" a="1"/>
  <c r="K164" i="1" a="1"/>
  <c r="L164" i="1" a="1"/>
  <c r="M164" i="1"/>
  <c r="N164" i="1"/>
  <c r="O164" i="1"/>
  <c r="P164" i="1"/>
  <c r="Q164" i="1"/>
  <c r="R164" i="1"/>
  <c r="H165" i="1" a="1"/>
  <c r="J165" i="1" a="1"/>
  <c r="K165" i="1" a="1"/>
  <c r="L165" i="1" a="1"/>
  <c r="M165" i="1"/>
  <c r="N165" i="1"/>
  <c r="O165" i="1"/>
  <c r="P165" i="1"/>
  <c r="Q165" i="1"/>
  <c r="R165" i="1"/>
  <c r="H166" i="1" a="1"/>
  <c r="J166" i="1" a="1"/>
  <c r="K166" i="1" a="1"/>
  <c r="L166" i="1" a="1"/>
  <c r="M166" i="1"/>
  <c r="N166" i="1" s="1"/>
  <c r="P166" i="1" s="1"/>
  <c r="O166" i="1"/>
  <c r="Q166" i="1"/>
  <c r="R166" i="1"/>
  <c r="H167" i="1" a="1"/>
  <c r="R167" i="1" s="1"/>
  <c r="J167" i="1" a="1"/>
  <c r="K167" i="1" a="1"/>
  <c r="L167" i="1" a="1"/>
  <c r="M167" i="1"/>
  <c r="N167" i="1" s="1"/>
  <c r="P167" i="1" s="1"/>
  <c r="O167" i="1"/>
  <c r="Q167" i="1"/>
  <c r="H168" i="1" a="1"/>
  <c r="R168" i="1" s="1"/>
  <c r="J168" i="1" a="1"/>
  <c r="K168" i="1" a="1"/>
  <c r="L168" i="1" a="1"/>
  <c r="M168" i="1"/>
  <c r="N168" i="1" s="1"/>
  <c r="P168" i="1" s="1"/>
  <c r="O168" i="1"/>
  <c r="Q168" i="1"/>
  <c r="H169" i="1" a="1"/>
  <c r="R169" i="1" s="1"/>
  <c r="J169" i="1" a="1"/>
  <c r="K169" i="1" a="1"/>
  <c r="L169" i="1" a="1"/>
  <c r="M169" i="1"/>
  <c r="N169" i="1"/>
  <c r="O169" i="1"/>
  <c r="P169" i="1"/>
  <c r="Q169" i="1"/>
  <c r="H170" i="1" a="1"/>
  <c r="J170" i="1" a="1"/>
  <c r="K170" i="1" a="1"/>
  <c r="L170" i="1" a="1"/>
  <c r="M170" i="1"/>
  <c r="N170" i="1"/>
  <c r="O170" i="1"/>
  <c r="P170" i="1"/>
  <c r="Q170" i="1"/>
  <c r="R170" i="1"/>
  <c r="H171" i="1" a="1"/>
  <c r="J171" i="1" a="1"/>
  <c r="K171" i="1" a="1"/>
  <c r="L171" i="1" a="1"/>
  <c r="M171" i="1"/>
  <c r="N171" i="1"/>
  <c r="O171" i="1"/>
  <c r="P171" i="1"/>
  <c r="Q171" i="1"/>
  <c r="R171" i="1"/>
  <c r="H172" i="1" a="1"/>
  <c r="J172" i="1" a="1"/>
  <c r="K172" i="1" a="1"/>
  <c r="L172" i="1" a="1"/>
  <c r="M172" i="1"/>
  <c r="N172" i="1"/>
  <c r="O172" i="1"/>
  <c r="P172" i="1"/>
  <c r="Q172" i="1"/>
  <c r="R172" i="1"/>
  <c r="H173" i="1" a="1"/>
  <c r="J173" i="1" a="1"/>
  <c r="K173" i="1" a="1"/>
  <c r="L173" i="1" a="1"/>
  <c r="M173" i="1"/>
  <c r="N173" i="1" s="1"/>
  <c r="P173" i="1" s="1"/>
  <c r="O173" i="1"/>
  <c r="Q173" i="1"/>
  <c r="H174" i="1" a="1"/>
  <c r="J174" i="1" a="1"/>
  <c r="K174" i="1" a="1"/>
  <c r="L174" i="1" a="1"/>
  <c r="M174" i="1"/>
  <c r="N174" i="1" s="1"/>
  <c r="P174" i="1" s="1"/>
  <c r="O174" i="1"/>
  <c r="Q174" i="1"/>
  <c r="R174" i="1"/>
  <c r="H175" i="1" a="1"/>
  <c r="J175" i="1" a="1"/>
  <c r="K175" i="1" a="1"/>
  <c r="L175" i="1" a="1"/>
  <c r="M175" i="1"/>
  <c r="N175" i="1" s="1"/>
  <c r="P175" i="1" s="1"/>
  <c r="O175" i="1"/>
  <c r="Q175" i="1"/>
  <c r="R175" i="1"/>
  <c r="H176" i="1" a="1"/>
  <c r="J176" i="1" a="1"/>
  <c r="K176" i="1" a="1"/>
  <c r="L176" i="1" a="1"/>
  <c r="M176" i="1"/>
  <c r="N176" i="1" s="1"/>
  <c r="P176" i="1" s="1"/>
  <c r="O176" i="1"/>
  <c r="Q176" i="1"/>
  <c r="H177" i="1" a="1"/>
  <c r="J177" i="1" a="1"/>
  <c r="K177" i="1" a="1"/>
  <c r="L177" i="1" a="1"/>
  <c r="M177" i="1"/>
  <c r="N177" i="1" s="1"/>
  <c r="P177" i="1" s="1"/>
  <c r="O177" i="1"/>
  <c r="Q177" i="1"/>
  <c r="H178" i="1" a="1"/>
  <c r="J178" i="1" a="1"/>
  <c r="K178" i="1" a="1"/>
  <c r="L178" i="1" a="1"/>
  <c r="M178" i="1"/>
  <c r="N178" i="1" s="1"/>
  <c r="P178" i="1" s="1"/>
  <c r="O178" i="1"/>
  <c r="Q178" i="1"/>
  <c r="H179" i="1" a="1"/>
  <c r="J179" i="1" a="1"/>
  <c r="K179" i="1" a="1"/>
  <c r="L179" i="1" a="1"/>
  <c r="M179" i="1"/>
  <c r="N179" i="1" s="1"/>
  <c r="P179" i="1" s="1"/>
  <c r="O179" i="1"/>
  <c r="Q179" i="1"/>
  <c r="H180" i="1" a="1"/>
  <c r="J180" i="1" a="1"/>
  <c r="K180" i="1" a="1"/>
  <c r="L180" i="1" a="1"/>
  <c r="M180" i="1"/>
  <c r="N180" i="1" s="1"/>
  <c r="P180" i="1" s="1"/>
  <c r="O180" i="1"/>
  <c r="Q180" i="1"/>
  <c r="H181" i="1" a="1"/>
  <c r="J181" i="1" a="1"/>
  <c r="K181" i="1" a="1"/>
  <c r="L181" i="1" a="1"/>
  <c r="M181" i="1"/>
  <c r="N181" i="1" s="1"/>
  <c r="P181" i="1" s="1"/>
  <c r="O181" i="1"/>
  <c r="Q181" i="1"/>
  <c r="R181" i="1"/>
  <c r="H182" i="1" a="1"/>
  <c r="R182" i="1" s="1"/>
  <c r="J182" i="1" a="1"/>
  <c r="K182" i="1" a="1"/>
  <c r="L182" i="1" a="1"/>
  <c r="M182" i="1"/>
  <c r="N182" i="1" s="1"/>
  <c r="P182" i="1" s="1"/>
  <c r="O182" i="1"/>
  <c r="Q182" i="1"/>
  <c r="H183" i="1" a="1"/>
  <c r="R183" i="1" s="1"/>
  <c r="J183" i="1" a="1"/>
  <c r="K183" i="1" a="1"/>
  <c r="L183" i="1" a="1"/>
  <c r="M183" i="1"/>
  <c r="N183" i="1" s="1"/>
  <c r="P183" i="1" s="1"/>
  <c r="O183" i="1"/>
  <c r="Q183" i="1"/>
  <c r="H184" i="1" a="1"/>
  <c r="J184" i="1" a="1"/>
  <c r="K184" i="1" a="1"/>
  <c r="L184" i="1" a="1"/>
  <c r="M184" i="1"/>
  <c r="N184" i="1" s="1"/>
  <c r="P184" i="1" s="1"/>
  <c r="O184" i="1"/>
  <c r="Q184" i="1"/>
  <c r="R184" i="1"/>
  <c r="H185" i="1" a="1"/>
  <c r="R185" i="1" s="1"/>
  <c r="J185" i="1" a="1"/>
  <c r="K185" i="1" a="1"/>
  <c r="L185" i="1" a="1"/>
  <c r="M185" i="1"/>
  <c r="N185" i="1" s="1"/>
  <c r="P185" i="1" s="1"/>
  <c r="O185" i="1"/>
  <c r="Q185" i="1"/>
  <c r="H186" i="1" a="1"/>
  <c r="R186" i="1" s="1"/>
  <c r="J186" i="1" a="1"/>
  <c r="K186" i="1" a="1"/>
  <c r="L186" i="1" a="1"/>
  <c r="M186" i="1"/>
  <c r="N186" i="1" s="1"/>
  <c r="P186" i="1" s="1"/>
  <c r="O186" i="1"/>
  <c r="Q186" i="1"/>
  <c r="H187" i="1" a="1"/>
  <c r="J187" i="1" a="1"/>
  <c r="K187" i="1" a="1"/>
  <c r="L187" i="1" a="1"/>
  <c r="M187" i="1"/>
  <c r="N187" i="1" s="1"/>
  <c r="P187" i="1" s="1"/>
  <c r="O187" i="1"/>
  <c r="Q187" i="1"/>
  <c r="R187" i="1"/>
  <c r="H188" i="1" a="1"/>
  <c r="J188" i="1" a="1"/>
  <c r="K188" i="1" a="1"/>
  <c r="L188" i="1" a="1"/>
  <c r="M188" i="1"/>
  <c r="N188" i="1" s="1"/>
  <c r="P188" i="1" s="1"/>
  <c r="O188" i="1"/>
  <c r="Q188" i="1"/>
  <c r="R188" i="1"/>
  <c r="H189" i="1" a="1"/>
  <c r="R189" i="1" s="1"/>
  <c r="J189" i="1" a="1"/>
  <c r="K189" i="1" a="1"/>
  <c r="L189" i="1" a="1"/>
  <c r="M189" i="1"/>
  <c r="N189" i="1" s="1"/>
  <c r="P189" i="1" s="1"/>
  <c r="O189" i="1"/>
  <c r="Q189" i="1"/>
  <c r="H190" i="1" a="1"/>
  <c r="J190" i="1" a="1"/>
  <c r="K190" i="1" a="1"/>
  <c r="L190" i="1" a="1"/>
  <c r="M190" i="1"/>
  <c r="N190" i="1" s="1"/>
  <c r="P190" i="1" s="1"/>
  <c r="O190" i="1"/>
  <c r="Q190" i="1"/>
  <c r="R190" i="1"/>
  <c r="H191" i="1" a="1"/>
  <c r="R191" i="1" s="1"/>
  <c r="J191" i="1" a="1"/>
  <c r="K191" i="1" a="1"/>
  <c r="L191" i="1" a="1"/>
  <c r="M191" i="1"/>
  <c r="N191" i="1" s="1"/>
  <c r="P191" i="1" s="1"/>
  <c r="O191" i="1"/>
  <c r="Q191" i="1"/>
  <c r="H192" i="1" a="1"/>
  <c r="R192" i="1" s="1"/>
  <c r="J192" i="1" a="1"/>
  <c r="K192" i="1" a="1"/>
  <c r="L192" i="1" a="1"/>
  <c r="M192" i="1"/>
  <c r="N192" i="1" s="1"/>
  <c r="P192" i="1" s="1"/>
  <c r="O192" i="1"/>
  <c r="Q192" i="1"/>
  <c r="H193" i="1" a="1"/>
  <c r="R193" i="1" s="1"/>
  <c r="J193" i="1" a="1"/>
  <c r="K193" i="1" a="1"/>
  <c r="L193" i="1" a="1"/>
  <c r="M193" i="1"/>
  <c r="N193" i="1" s="1"/>
  <c r="P193" i="1" s="1"/>
  <c r="O193" i="1"/>
  <c r="Q193" i="1"/>
  <c r="H194" i="1" a="1"/>
  <c r="R194" i="1" s="1"/>
  <c r="J194" i="1" a="1"/>
  <c r="K194" i="1" a="1"/>
  <c r="L194" i="1" a="1"/>
  <c r="M194" i="1"/>
  <c r="N194" i="1" s="1"/>
  <c r="P194" i="1" s="1"/>
  <c r="O194" i="1"/>
  <c r="Q194" i="1"/>
  <c r="H195" i="1" a="1"/>
  <c r="R195" i="1" s="1"/>
  <c r="J195" i="1" a="1"/>
  <c r="K195" i="1" a="1"/>
  <c r="L195" i="1" a="1"/>
  <c r="M195" i="1"/>
  <c r="N195" i="1" s="1"/>
  <c r="P195" i="1" s="1"/>
  <c r="O195" i="1"/>
  <c r="Q195" i="1"/>
  <c r="H196" i="1" a="1"/>
  <c r="J196" i="1" a="1"/>
  <c r="K196" i="1" a="1"/>
  <c r="L196" i="1" a="1"/>
  <c r="M196" i="1"/>
  <c r="N196" i="1" s="1"/>
  <c r="P196" i="1" s="1"/>
  <c r="O196" i="1"/>
  <c r="Q196" i="1"/>
  <c r="R196" i="1"/>
  <c r="H197" i="1" a="1"/>
  <c r="R197" i="1" s="1"/>
  <c r="J197" i="1" a="1"/>
  <c r="K197" i="1" a="1"/>
  <c r="L197" i="1" a="1"/>
  <c r="M197" i="1"/>
  <c r="N197" i="1" s="1"/>
  <c r="P197" i="1" s="1"/>
  <c r="O197" i="1"/>
  <c r="Q197" i="1"/>
  <c r="H198" i="1" a="1"/>
  <c r="R198" i="1" s="1"/>
  <c r="J198" i="1" a="1"/>
  <c r="K198" i="1" a="1"/>
  <c r="L198" i="1" a="1"/>
  <c r="M198" i="1"/>
  <c r="N198" i="1" s="1"/>
  <c r="P198" i="1" s="1"/>
  <c r="O198" i="1"/>
  <c r="Q198" i="1"/>
  <c r="H199" i="1" a="1"/>
  <c r="R199" i="1" s="1"/>
  <c r="J199" i="1" a="1"/>
  <c r="K199" i="1" a="1"/>
  <c r="L199" i="1" a="1"/>
  <c r="M199" i="1"/>
  <c r="N199" i="1" s="1"/>
  <c r="P199" i="1" s="1"/>
  <c r="O199" i="1"/>
  <c r="Q199" i="1"/>
  <c r="H200" i="1" a="1"/>
  <c r="R200" i="1" s="1"/>
  <c r="J200" i="1" a="1"/>
  <c r="K200" i="1" a="1"/>
  <c r="L200" i="1" a="1"/>
  <c r="M200" i="1"/>
  <c r="N200" i="1" s="1"/>
  <c r="P200" i="1" s="1"/>
  <c r="O200" i="1"/>
  <c r="Q200" i="1"/>
  <c r="H201" i="1" a="1"/>
  <c r="R201" i="1" s="1"/>
  <c r="J201" i="1" a="1"/>
  <c r="K201" i="1" a="1"/>
  <c r="L201" i="1" a="1"/>
  <c r="M201" i="1"/>
  <c r="N201" i="1" s="1"/>
  <c r="P201" i="1" s="1"/>
  <c r="O201" i="1"/>
  <c r="Q201" i="1"/>
  <c r="Q2" i="1"/>
  <c r="O2" i="1"/>
  <c r="M2" i="1"/>
  <c r="N2" i="1" s="1"/>
  <c r="P2" i="1" s="1"/>
  <c r="L2" i="1" a="1"/>
  <c r="K2" i="1" a="1"/>
  <c r="J2" i="1" a="1"/>
  <c r="H2" i="1" a="1"/>
  <c r="R2" i="1" s="1"/>
  <c r="W16" i="16" a="1"/>
  <c r="D25" i="16"/>
  <c r="E25" i="16"/>
  <c r="F25" i="16"/>
  <c r="D26" i="16"/>
  <c r="E26" i="16"/>
  <c r="F26" i="16"/>
  <c r="D27" i="16"/>
  <c r="E27" i="16"/>
  <c r="F27" i="16"/>
  <c r="D28" i="16"/>
  <c r="E28" i="16"/>
  <c r="F28" i="16"/>
  <c r="E24" i="16"/>
  <c r="F24" i="16"/>
  <c r="D24" i="16"/>
  <c r="D23" i="16"/>
  <c r="E23" i="16"/>
  <c r="F23" i="16"/>
  <c r="C23" i="16"/>
  <c r="C24" i="16"/>
  <c r="C25" i="16"/>
  <c r="C26" i="16"/>
  <c r="C27" i="16"/>
  <c r="C28" i="16"/>
  <c r="B25" i="16"/>
  <c r="B26" i="16"/>
  <c r="B27" i="16"/>
  <c r="B28" i="16"/>
  <c r="B24" i="16"/>
  <c r="C25" i="32"/>
  <c r="C24" i="32"/>
  <c r="C26" i="32"/>
  <c r="C23" i="32"/>
  <c r="R35" i="1"/>
  <c r="R38" i="1"/>
  <c r="R39" i="1"/>
  <c r="R40" i="1"/>
  <c r="R42" i="1"/>
  <c r="R43" i="1"/>
  <c r="R44" i="1"/>
  <c r="R45" i="1"/>
  <c r="R46" i="1"/>
  <c r="R47" i="1"/>
  <c r="R48" i="1"/>
  <c r="R49" i="1"/>
  <c r="R51" i="1"/>
  <c r="R52" i="1"/>
  <c r="R53" i="1"/>
  <c r="R54" i="1"/>
  <c r="R56" i="1"/>
  <c r="R57" i="1"/>
  <c r="R58" i="1"/>
  <c r="R59" i="1"/>
  <c r="R60" i="1"/>
  <c r="R61" i="1"/>
  <c r="R64" i="1"/>
  <c r="R65" i="1"/>
  <c r="R66" i="1"/>
  <c r="R67" i="1"/>
  <c r="R68" i="1"/>
  <c r="R69" i="1"/>
  <c r="R71" i="1"/>
  <c r="R72" i="1"/>
  <c r="R74" i="1"/>
  <c r="R76" i="1"/>
  <c r="R77" i="1"/>
  <c r="R79" i="1"/>
  <c r="R80" i="1"/>
  <c r="R81" i="1"/>
  <c r="R82" i="1"/>
  <c r="R84" i="1"/>
  <c r="R86" i="1"/>
  <c r="R87" i="1"/>
  <c r="R90" i="1"/>
  <c r="R91" i="1"/>
  <c r="R92" i="1"/>
  <c r="R95" i="1"/>
  <c r="R97" i="1"/>
  <c r="R98" i="1"/>
  <c r="R102" i="1"/>
  <c r="R103" i="1"/>
  <c r="R104" i="1"/>
  <c r="R105" i="1"/>
  <c r="R106" i="1"/>
  <c r="R107" i="1"/>
  <c r="R108" i="1"/>
  <c r="R110" i="1"/>
  <c r="R113" i="1"/>
  <c r="R114" i="1"/>
  <c r="R119" i="1"/>
  <c r="R121" i="1"/>
  <c r="R123" i="1"/>
  <c r="R126" i="1"/>
  <c r="R128" i="1"/>
  <c r="R129" i="1"/>
  <c r="R130" i="1"/>
  <c r="R131" i="1"/>
  <c r="R134" i="1"/>
  <c r="R135" i="1"/>
  <c r="R136" i="1"/>
  <c r="R137" i="1"/>
  <c r="R139" i="1"/>
  <c r="R173" i="1"/>
  <c r="R176" i="1"/>
  <c r="R177" i="1"/>
  <c r="R178" i="1"/>
  <c r="R179" i="1"/>
  <c r="R18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<sst xmlns="http://schemas.openxmlformats.org/spreadsheetml/2006/main" count="4809" uniqueCount="1224">
  <si>
    <t>成屋</t>
  </si>
  <si>
    <t>55,000元/月</t>
  </si>
  <si>
    <t xml:space="preserve">元利公館河景三房車位  </t>
  </si>
  <si>
    <t xml:space="preserve">台北市文山區溪洲街  </t>
  </si>
  <si>
    <t>68,000元/月</t>
  </si>
  <si>
    <t>150,000元/月</t>
  </si>
  <si>
    <t xml:space="preserve">遠企電梯精美套房  </t>
  </si>
  <si>
    <t xml:space="preserve">台北市大安區樂業街  </t>
  </si>
  <si>
    <t>31,000元/月</t>
  </si>
  <si>
    <t>37,800元/月</t>
  </si>
  <si>
    <t xml:space="preserve">近捷運電梯優質大套房  </t>
  </si>
  <si>
    <t xml:space="preserve">台北市北投區泉源路  </t>
  </si>
  <si>
    <t>22,000元/月</t>
  </si>
  <si>
    <t>12,000元/月</t>
  </si>
  <si>
    <t>40,000元/月</t>
  </si>
  <si>
    <t>32,000元/月</t>
  </si>
  <si>
    <t xml:space="preserve">萬華頂級好屋  </t>
  </si>
  <si>
    <t xml:space="preserve">台北市萬華區大理街  </t>
  </si>
  <si>
    <t>25,000元/月</t>
  </si>
  <si>
    <t>65,000元/月</t>
  </si>
  <si>
    <t>46,000元/月</t>
  </si>
  <si>
    <t>7,500元/月</t>
  </si>
  <si>
    <t>45,000元/月</t>
  </si>
  <si>
    <t xml:space="preserve">海華御寶四房車位  </t>
  </si>
  <si>
    <t xml:space="preserve">台北市內湖區民權東路六段  </t>
  </si>
  <si>
    <t>51,000元/月</t>
  </si>
  <si>
    <t>2/7樓</t>
  </si>
  <si>
    <t xml:space="preserve">2房2廳2衛 </t>
  </si>
  <si>
    <t>12/15樓</t>
  </si>
  <si>
    <t xml:space="preserve">3房2廳2衛 </t>
  </si>
  <si>
    <t xml:space="preserve">1房1廳1衛 </t>
  </si>
  <si>
    <t>12/12樓</t>
  </si>
  <si>
    <t>1/5樓</t>
  </si>
  <si>
    <t xml:space="preserve">1房1衛 </t>
  </si>
  <si>
    <t>4/5樓</t>
  </si>
  <si>
    <t xml:space="preserve">2房2廳1衛 </t>
  </si>
  <si>
    <t>8/12樓</t>
  </si>
  <si>
    <t>5/5樓</t>
  </si>
  <si>
    <t>1/4樓</t>
  </si>
  <si>
    <t>4/4樓</t>
  </si>
  <si>
    <t xml:space="preserve">4房2廳2衛 </t>
  </si>
  <si>
    <t>4/7樓</t>
  </si>
  <si>
    <t>10/12樓</t>
  </si>
  <si>
    <t>3/8樓</t>
  </si>
  <si>
    <t xml:space="preserve">2房2廳2衛1室 </t>
  </si>
  <si>
    <t>1/7樓</t>
  </si>
  <si>
    <t>4/8樓</t>
  </si>
  <si>
    <t xml:space="preserve">1房2廳1衛 </t>
  </si>
  <si>
    <t>4/14樓</t>
  </si>
  <si>
    <t>4/12樓</t>
  </si>
  <si>
    <t>27,000元/月</t>
  </si>
  <si>
    <t>13/15樓</t>
  </si>
  <si>
    <t>24,000元/月</t>
  </si>
  <si>
    <t>2/5樓</t>
  </si>
  <si>
    <t>28,000元/月</t>
  </si>
  <si>
    <t>8/15樓</t>
  </si>
  <si>
    <t xml:space="preserve">1廳1衛 </t>
  </si>
  <si>
    <t xml:space="preserve">2房2廳2衛(含加蓋 1房1廳2衛) </t>
  </si>
  <si>
    <t xml:space="preserve">台北市大安區金山南路二段  </t>
  </si>
  <si>
    <t>60,000元/月</t>
  </si>
  <si>
    <t>48,000元/月</t>
  </si>
  <si>
    <t>62,000元/月</t>
  </si>
  <si>
    <t xml:space="preserve">2房1廳 </t>
  </si>
  <si>
    <t xml:space="preserve">台北市北投區西安街二段  </t>
  </si>
  <si>
    <t>16,000元/月</t>
  </si>
  <si>
    <t>9/12樓</t>
  </si>
  <si>
    <t>6/8樓</t>
  </si>
  <si>
    <t>7/14樓</t>
  </si>
  <si>
    <t>43,000元/月</t>
  </si>
  <si>
    <t xml:space="preserve">台北市中山區松江路  </t>
  </si>
  <si>
    <t>12/14樓</t>
  </si>
  <si>
    <t xml:space="preserve">奇岩常殷泊美兩房出租  </t>
  </si>
  <si>
    <t xml:space="preserve">2房1廳1衛 </t>
  </si>
  <si>
    <t xml:space="preserve">台北市北投區三合街一段  </t>
  </si>
  <si>
    <t>36,000元/月</t>
  </si>
  <si>
    <t xml:space="preserve">西門捷運天鑽高樓美妝  </t>
  </si>
  <si>
    <t>10/15樓</t>
  </si>
  <si>
    <t xml:space="preserve">台北市萬華區中華路一段  </t>
  </si>
  <si>
    <t>70,000元/月</t>
  </si>
  <si>
    <t>6/14樓</t>
  </si>
  <si>
    <t>100,000元/月</t>
  </si>
  <si>
    <t>9/21樓</t>
  </si>
  <si>
    <t>140,000元/月</t>
  </si>
  <si>
    <t>11/15樓</t>
  </si>
  <si>
    <t>5/15樓</t>
  </si>
  <si>
    <t>6/7樓</t>
  </si>
  <si>
    <t xml:space="preserve">4房3廳3衛 </t>
  </si>
  <si>
    <t>80,000元/月</t>
  </si>
  <si>
    <t>6/12樓</t>
  </si>
  <si>
    <t>38,000元/月</t>
  </si>
  <si>
    <t xml:space="preserve">2房1廳1衛(含加蓋 1房) </t>
  </si>
  <si>
    <t xml:space="preserve">1房2廳1衛1室 </t>
  </si>
  <si>
    <t>58,000元/月</t>
  </si>
  <si>
    <t xml:space="preserve">4房2廳3衛 </t>
  </si>
  <si>
    <t xml:space="preserve">台北市士林區德行東路  </t>
  </si>
  <si>
    <t xml:space="preserve">3房2廳1衛 </t>
  </si>
  <si>
    <t>2/11樓</t>
  </si>
  <si>
    <t xml:space="preserve">4房2廳2衛1室 </t>
  </si>
  <si>
    <t>6/10樓</t>
  </si>
  <si>
    <t>39,000元/月</t>
  </si>
  <si>
    <t>41,000元/月</t>
  </si>
  <si>
    <t>2/9樓</t>
  </si>
  <si>
    <t xml:space="preserve">台北市南港區興南街  </t>
  </si>
  <si>
    <t>50,000元/月</t>
  </si>
  <si>
    <t>18,000元/月</t>
  </si>
  <si>
    <t xml:space="preserve">台北市內湖區康樂街  </t>
  </si>
  <si>
    <t>34,800元/月</t>
  </si>
  <si>
    <t xml:space="preserve">4房1廳1衛 </t>
  </si>
  <si>
    <t>2/4樓</t>
  </si>
  <si>
    <t xml:space="preserve">雙捷運純住宅華廈  </t>
  </si>
  <si>
    <t>7/7樓</t>
  </si>
  <si>
    <t xml:space="preserve">台北市中山區吉林路  </t>
  </si>
  <si>
    <t>35,000元/月</t>
  </si>
  <si>
    <t xml:space="preserve">台北市中正區忠孝東路一段  </t>
  </si>
  <si>
    <t>9/11樓</t>
  </si>
  <si>
    <t>30,000元/月</t>
  </si>
  <si>
    <t>23,000元/月</t>
  </si>
  <si>
    <t>3/7樓</t>
  </si>
  <si>
    <t xml:space="preserve">台北市松山區敦化北路  </t>
  </si>
  <si>
    <t>75,000元/月</t>
  </si>
  <si>
    <t>8,500元/月</t>
  </si>
  <si>
    <t xml:space="preserve">近華山面公園精美４房  </t>
  </si>
  <si>
    <t>5/11樓</t>
  </si>
  <si>
    <t xml:space="preserve">台北市中山區長安東路一段  </t>
  </si>
  <si>
    <t>74,000元/月</t>
  </si>
  <si>
    <t xml:space="preserve">1房2廳2衛 </t>
  </si>
  <si>
    <t>2/10樓</t>
  </si>
  <si>
    <t xml:space="preserve">台北市信義區信義路五段  </t>
  </si>
  <si>
    <t>20/25樓</t>
  </si>
  <si>
    <t xml:space="preserve">1房1廳1衛1室(含加蓋 1房) </t>
  </si>
  <si>
    <t xml:space="preserve">台北市松山區八德路二段  </t>
  </si>
  <si>
    <t>2/12樓</t>
  </si>
  <si>
    <t>120,000元/月</t>
  </si>
  <si>
    <t>8/16樓</t>
  </si>
  <si>
    <t xml:space="preserve">台北市信義區永吉路  </t>
  </si>
  <si>
    <t>1-2/2樓</t>
  </si>
  <si>
    <t>19,000元/月</t>
  </si>
  <si>
    <t xml:space="preserve">台北市松山區南京東路四段  </t>
  </si>
  <si>
    <t>3/5樓</t>
  </si>
  <si>
    <t>4/15樓</t>
  </si>
  <si>
    <t xml:space="preserve">台北市大安區延吉街  </t>
  </si>
  <si>
    <t xml:space="preserve">2房2廳1衛(含加蓋 1房) </t>
  </si>
  <si>
    <t xml:space="preserve">3房1廳1衛 </t>
  </si>
  <si>
    <t>10/19樓</t>
  </si>
  <si>
    <t>16,800元/月</t>
  </si>
  <si>
    <t>15,000元/月</t>
  </si>
  <si>
    <t>2/19樓</t>
  </si>
  <si>
    <t>6,000元/月</t>
  </si>
  <si>
    <t>128,000元/月</t>
  </si>
  <si>
    <t>1-3/3樓</t>
  </si>
  <si>
    <t>108,000元/月</t>
  </si>
  <si>
    <t xml:space="preserve">2廳1衛 </t>
  </si>
  <si>
    <t>https://www.sinyi.com.tw/rent/houseno/C349473</t>
  </si>
  <si>
    <t xml:space="preserve">卡第兒高樓景觀１＋１  </t>
  </si>
  <si>
    <t>16/16樓</t>
  </si>
  <si>
    <t xml:space="preserve">台北市大安區羅斯福路三段  </t>
  </si>
  <si>
    <t xml:space="preserve">台北市松山區民生東路五段  </t>
  </si>
  <si>
    <t>78,000元/月</t>
  </si>
  <si>
    <t>42,000元/月</t>
  </si>
  <si>
    <t xml:space="preserve">可養貓－松江南京高樓套房  </t>
  </si>
  <si>
    <t>5,000元/月</t>
  </si>
  <si>
    <t>4/6樓</t>
  </si>
  <si>
    <t xml:space="preserve">台北市大安區信義路三段  </t>
  </si>
  <si>
    <t xml:space="preserve">台北市松山區八德路三段  </t>
  </si>
  <si>
    <t>2/6樓</t>
  </si>
  <si>
    <t xml:space="preserve">近西門町優質電梯大３房  </t>
  </si>
  <si>
    <t xml:space="preserve">台北市萬華區中華路二段  </t>
  </si>
  <si>
    <t>7/12樓</t>
  </si>
  <si>
    <t>33,000元/月</t>
  </si>
  <si>
    <t>16/19樓</t>
  </si>
  <si>
    <t>5/7樓</t>
  </si>
  <si>
    <t xml:space="preserve">1房1廳1衛(含加蓋 1房) </t>
  </si>
  <si>
    <t>85,000元/月</t>
  </si>
  <si>
    <t>3/4樓</t>
  </si>
  <si>
    <t>5/12樓</t>
  </si>
  <si>
    <t>5/19樓</t>
  </si>
  <si>
    <t>10/11樓</t>
  </si>
  <si>
    <t>8/13樓</t>
  </si>
  <si>
    <t>3/12樓</t>
  </si>
  <si>
    <t xml:space="preserve">台北市大安區仁愛路四段  </t>
  </si>
  <si>
    <t xml:space="preserve">2房2廳1衛1室 </t>
  </si>
  <si>
    <t>29,000元/月</t>
  </si>
  <si>
    <t>6/13樓</t>
  </si>
  <si>
    <t xml:space="preserve">台北市大安區安和路二段  </t>
  </si>
  <si>
    <t>29,800元/月</t>
  </si>
  <si>
    <t>20,000元/月</t>
  </si>
  <si>
    <t xml:space="preserve">台北市文山區興隆路三段  </t>
  </si>
  <si>
    <t>7/8樓</t>
  </si>
  <si>
    <t xml:space="preserve">4房2廳2衛(含加蓋 1房) </t>
  </si>
  <si>
    <t>13/13樓</t>
  </si>
  <si>
    <t xml:space="preserve">台北市信義區松山路  </t>
  </si>
  <si>
    <t>13,000元/月</t>
  </si>
  <si>
    <t xml:space="preserve">台北市文山區景興路  </t>
  </si>
  <si>
    <t xml:space="preserve">捷豹 / 台北市中山區長春路  </t>
  </si>
  <si>
    <t xml:space="preserve">3房2廳1.5衛 </t>
  </si>
  <si>
    <t>9/9樓</t>
  </si>
  <si>
    <t>6/9樓</t>
  </si>
  <si>
    <t xml:space="preserve">1房 </t>
  </si>
  <si>
    <t>21,000元/月</t>
  </si>
  <si>
    <t>7/15樓</t>
  </si>
  <si>
    <t>9/16樓</t>
  </si>
  <si>
    <t xml:space="preserve">台北市大同區蘭州街  </t>
  </si>
  <si>
    <t xml:space="preserve">近捷運時尚小豪宅  </t>
  </si>
  <si>
    <t>37,000元/月</t>
  </si>
  <si>
    <t>B1-3/4樓</t>
  </si>
  <si>
    <t xml:space="preserve">3房2廳2衛1室 </t>
  </si>
  <si>
    <t>54,000元/月</t>
  </si>
  <si>
    <t>10/14樓</t>
  </si>
  <si>
    <t xml:space="preserve">台北市信義區基隆路一段  </t>
  </si>
  <si>
    <t>8/14樓</t>
  </si>
  <si>
    <t>17/19樓</t>
  </si>
  <si>
    <t>1/16樓</t>
  </si>
  <si>
    <t>82,000元/月</t>
  </si>
  <si>
    <t>14,000元/月</t>
  </si>
  <si>
    <t>11/12樓</t>
  </si>
  <si>
    <t xml:space="preserve">華固晴川綠意４房  </t>
  </si>
  <si>
    <t>89,000元/月</t>
  </si>
  <si>
    <t>3/13樓</t>
  </si>
  <si>
    <t>6,500元/月</t>
  </si>
  <si>
    <t xml:space="preserve">萬隆一樓分租套房  </t>
  </si>
  <si>
    <t xml:space="preserve">台北市文山區景福街  </t>
  </si>
  <si>
    <t>53,000元/月</t>
  </si>
  <si>
    <t xml:space="preserve">台北市大安區新生南路三段  </t>
  </si>
  <si>
    <t>9/15樓</t>
  </si>
  <si>
    <t>19/21樓</t>
  </si>
  <si>
    <t>5/21樓</t>
  </si>
  <si>
    <t xml:space="preserve">4房2廳1衛 </t>
  </si>
  <si>
    <t xml:space="preserve">台北市松山區新東街  </t>
  </si>
  <si>
    <t>34,000元/月</t>
  </si>
  <si>
    <t xml:space="preserve">台北市北投區稻香路  </t>
  </si>
  <si>
    <t>B1-4/4樓</t>
  </si>
  <si>
    <t xml:space="preserve">台北市士林區忠誠路一段  </t>
  </si>
  <si>
    <t>125,000元/月</t>
  </si>
  <si>
    <t>6/15樓</t>
  </si>
  <si>
    <t>11,000元/月</t>
  </si>
  <si>
    <t>2/15樓</t>
  </si>
  <si>
    <t xml:space="preserve">1房1廳 </t>
  </si>
  <si>
    <t>11/18樓</t>
  </si>
  <si>
    <t xml:space="preserve">3房2廳1衛1室 </t>
  </si>
  <si>
    <t>18,500元/月</t>
  </si>
  <si>
    <t>3/15樓</t>
  </si>
  <si>
    <t>14/14樓</t>
  </si>
  <si>
    <t>19,500元/月</t>
  </si>
  <si>
    <t>13/27樓</t>
  </si>
  <si>
    <t xml:space="preserve">大巨蛋美妝共生宅  </t>
  </si>
  <si>
    <t xml:space="preserve">✿景美小資青年套房✿  </t>
  </si>
  <si>
    <t>8,000元/月</t>
  </si>
  <si>
    <t xml:space="preserve">台北市信義區吳興街  </t>
  </si>
  <si>
    <t>14/15樓</t>
  </si>
  <si>
    <t>4/13樓</t>
  </si>
  <si>
    <t>8/11樓</t>
  </si>
  <si>
    <t>B1-2/2樓</t>
  </si>
  <si>
    <t>5/14樓</t>
  </si>
  <si>
    <t>9,500元/月</t>
  </si>
  <si>
    <t xml:space="preserve">稀有民生社區別墅面公園  </t>
  </si>
  <si>
    <t>B2-2/4樓</t>
  </si>
  <si>
    <t xml:space="preserve">4房6廳4衛3室 </t>
  </si>
  <si>
    <t>5/13樓</t>
  </si>
  <si>
    <t>7/13樓</t>
  </si>
  <si>
    <t>69,000元/月</t>
  </si>
  <si>
    <t xml:space="preserve">發現之旅高樓美景  </t>
  </si>
  <si>
    <t>14/22樓</t>
  </si>
  <si>
    <t xml:space="preserve">2房2廳1.5衛1室 </t>
  </si>
  <si>
    <t xml:space="preserve">台北市文山區辛亥路六段  </t>
  </si>
  <si>
    <t>17,000元/月</t>
  </si>
  <si>
    <t xml:space="preserve">擎天全新大２房美露臺  </t>
  </si>
  <si>
    <t>2/26樓</t>
  </si>
  <si>
    <t xml:space="preserve">台北市文山區永安街  </t>
  </si>
  <si>
    <t>2/2樓</t>
  </si>
  <si>
    <t>16/17樓</t>
  </si>
  <si>
    <t>10,000元/月</t>
  </si>
  <si>
    <t>6/23樓</t>
  </si>
  <si>
    <t xml:space="preserve">忠孝捷運裝潢挑高美邸  </t>
  </si>
  <si>
    <t>26,000元/月</t>
  </si>
  <si>
    <t xml:space="preserve">台北市北投區致遠一路一段  </t>
  </si>
  <si>
    <t xml:space="preserve">台北市大安區新生南路一段  </t>
  </si>
  <si>
    <t>43,800元/月</t>
  </si>
  <si>
    <t>18/22樓</t>
  </si>
  <si>
    <t>8/22樓</t>
  </si>
  <si>
    <t>11/14樓</t>
  </si>
  <si>
    <t>15/15樓</t>
  </si>
  <si>
    <t>11/13樓</t>
  </si>
  <si>
    <t>110,000元/月</t>
  </si>
  <si>
    <t>33,800元/月</t>
  </si>
  <si>
    <t xml:space="preserve">鵲喜質感２房車位  </t>
  </si>
  <si>
    <t>69,800元/月</t>
  </si>
  <si>
    <t xml:space="preserve">2房1廳2衛 </t>
  </si>
  <si>
    <t xml:space="preserve">政大春山莊採光電梯別墅  </t>
  </si>
  <si>
    <t xml:space="preserve">5房5廳5衛6室(含加蓋 4室) </t>
  </si>
  <si>
    <t xml:space="preserve">台北市文山區政大一街  </t>
  </si>
  <si>
    <t xml:space="preserve">2房1衛 </t>
  </si>
  <si>
    <t>9,000元/月</t>
  </si>
  <si>
    <t>1-2/14樓</t>
  </si>
  <si>
    <t>3/10樓</t>
  </si>
  <si>
    <t xml:space="preserve">［胡適居］明亮景觀宅  </t>
  </si>
  <si>
    <t xml:space="preserve">3房1廳2衛(含加蓋 1房1衛) </t>
  </si>
  <si>
    <t xml:space="preserve">台北市南港區舊莊街一段  </t>
  </si>
  <si>
    <t xml:space="preserve">3房2廳4衛1室 </t>
  </si>
  <si>
    <t>7/18樓</t>
  </si>
  <si>
    <t>15/20樓</t>
  </si>
  <si>
    <t>1-4/4樓</t>
  </si>
  <si>
    <t>18/19樓</t>
  </si>
  <si>
    <t>4/17樓</t>
  </si>
  <si>
    <t>https://www.sinyi.com.tw/rent/houseno/C326200</t>
  </si>
  <si>
    <t xml:space="preserve">敦化北路．綠蔭環翠名宮  </t>
  </si>
  <si>
    <t xml:space="preserve">南港雙門牌優質大戶  </t>
  </si>
  <si>
    <t xml:space="preserve">6房2廳2衛 </t>
  </si>
  <si>
    <t xml:space="preserve">台北市南港區興東街  </t>
  </si>
  <si>
    <t>B1-1/5樓</t>
  </si>
  <si>
    <t>7/11樓</t>
  </si>
  <si>
    <t xml:space="preserve">3房1廳1衛(含加蓋 2房) </t>
  </si>
  <si>
    <t xml:space="preserve">4房3廳3衛1室 </t>
  </si>
  <si>
    <t>1-2/5樓</t>
  </si>
  <si>
    <t>16/23樓</t>
  </si>
  <si>
    <t>21/23樓</t>
  </si>
  <si>
    <t>坪數</t>
  </si>
  <si>
    <t>樓層</t>
  </si>
  <si>
    <t>格局</t>
  </si>
  <si>
    <t xml:space="preserve">近海安路面寬多功能住宅  </t>
  </si>
  <si>
    <t xml:space="preserve">8房2廳9衛(含加蓋 4房4衛) </t>
  </si>
  <si>
    <t xml:space="preserve">台南市北區海安路三段  </t>
  </si>
  <si>
    <t xml:space="preserve">新潤翡麗２房車位  </t>
  </si>
  <si>
    <t>14/24樓</t>
  </si>
  <si>
    <t xml:space="preserve">桃園市龜山區華亞三路  </t>
  </si>
  <si>
    <t>13/29樓</t>
  </si>
  <si>
    <t xml:space="preserve">高雄市前鎮區一心二路  </t>
  </si>
  <si>
    <t>19,800元/月</t>
  </si>
  <si>
    <t xml:space="preserve">誠意出租公寓四樓  </t>
  </si>
  <si>
    <t xml:space="preserve">新北市新店區安康路二段  </t>
  </si>
  <si>
    <t xml:space="preserve">綠雅圖高樓兩房平面車位  </t>
  </si>
  <si>
    <t xml:space="preserve">台中市太平區環中東路三段  </t>
  </si>
  <si>
    <t>28,500元/月</t>
  </si>
  <si>
    <t xml:space="preserve">音樂河三房平車有傢俱  </t>
  </si>
  <si>
    <t>21/22樓</t>
  </si>
  <si>
    <t xml:space="preserve">高雄市橋頭區橋都路  </t>
  </si>
  <si>
    <t xml:space="preserve">台中市南屯區大墩六街  </t>
  </si>
  <si>
    <t xml:space="preserve">近五權車站美套房  </t>
  </si>
  <si>
    <t>7/19樓</t>
  </si>
  <si>
    <t xml:space="preserve">城市經典 / 台中市西區三民路一段  </t>
  </si>
  <si>
    <t xml:space="preserve">近捷運站南屯兩房車位  </t>
  </si>
  <si>
    <t>15/31樓</t>
  </si>
  <si>
    <t xml:space="preserve">台中市南屯區文心南路  </t>
  </si>
  <si>
    <t xml:space="preserve">台中市西屯區中平路  </t>
  </si>
  <si>
    <t xml:space="preserve">高雄市苓雅區三多四路  </t>
  </si>
  <si>
    <t xml:space="preserve">北區近二中優質套房  </t>
  </si>
  <si>
    <t xml:space="preserve">台中市北區英士路  </t>
  </si>
  <si>
    <t xml:space="preserve">新竹市新竹市埔頂三路  </t>
  </si>
  <si>
    <t xml:space="preserve">北區漢口商圈三樓公寓  </t>
  </si>
  <si>
    <t xml:space="preserve">台中市北區山西路二段  </t>
  </si>
  <si>
    <t xml:space="preserve">南科全新未住三房平車  </t>
  </si>
  <si>
    <t xml:space="preserve">台南市善化區東勢寮  </t>
  </si>
  <si>
    <t xml:space="preserve">台中市北區育樂街  </t>
  </si>
  <si>
    <t xml:space="preserve">高雄市楠梓區後昌路  </t>
  </si>
  <si>
    <t xml:space="preserve">台中市北區學士路  </t>
  </si>
  <si>
    <t xml:space="preserve">近中科台積電全新套房２Ａ  </t>
  </si>
  <si>
    <t xml:space="preserve">台中市大雅區中和六路  </t>
  </si>
  <si>
    <t xml:space="preserve">近中科台積電全新套房２Ｂ  </t>
  </si>
  <si>
    <t xml:space="preserve">近中科台積電全新套房２Ｄ  </t>
  </si>
  <si>
    <t xml:space="preserve">近中科台積電全新套房４Ｃ  </t>
  </si>
  <si>
    <t xml:space="preserve">近中科台積電全新套房４Ｄ  </t>
  </si>
  <si>
    <t xml:space="preserve">台中市西屯區福安路  </t>
  </si>
  <si>
    <t xml:space="preserve">熊貓天下高樓三房請看這間  </t>
  </si>
  <si>
    <t xml:space="preserve">熊貓天下 / 台中市西屯區西屯路二段  </t>
  </si>
  <si>
    <t xml:space="preserve">［專任］：文心１高樓兩房  </t>
  </si>
  <si>
    <t>19/22樓</t>
  </si>
  <si>
    <t xml:space="preserve">台中市北屯區文心路四段  </t>
  </si>
  <si>
    <t xml:space="preserve">文化新世紀大兩房平車  </t>
  </si>
  <si>
    <t xml:space="preserve">台南市東區中華東路三段  </t>
  </si>
  <si>
    <t xml:space="preserve">健身公寓雅房Ｅ室  </t>
  </si>
  <si>
    <t xml:space="preserve">高雄市三民區立忠路  </t>
  </si>
  <si>
    <t xml:space="preserve">健身公寓雅房Ｄ室  </t>
  </si>
  <si>
    <t xml:space="preserve">健身公寓套房Ｂ室  </t>
  </si>
  <si>
    <t xml:space="preserve">健身公寓套房Ａ室  </t>
  </si>
  <si>
    <t xml:space="preserve">捷運Ａ３站富都匯精緻２房  </t>
  </si>
  <si>
    <t xml:space="preserve">新北市新莊區中央路  </t>
  </si>
  <si>
    <t>18/21樓</t>
  </si>
  <si>
    <t xml:space="preserve">台中市北區忠太東路  </t>
  </si>
  <si>
    <t xml:space="preserve">台中市北屯區中清路二段  </t>
  </si>
  <si>
    <t xml:space="preserve">新北市淡水區淡金路  </t>
  </si>
  <si>
    <t xml:space="preserve">海帝精美舒適套房  </t>
  </si>
  <si>
    <t>17,500元/月</t>
  </si>
  <si>
    <t xml:space="preserve">新北市淡水區中山北路二段  </t>
  </si>
  <si>
    <t xml:space="preserve">三木日光社區附傢俱兩房  </t>
  </si>
  <si>
    <t xml:space="preserve">台中市北屯區遼寧路一段  </t>
  </si>
  <si>
    <t xml:space="preserve">時代圓滿面公園美宅  </t>
  </si>
  <si>
    <t xml:space="preserve">新北市永和區永貞路  </t>
  </si>
  <si>
    <t>26,500元/月</t>
  </si>
  <si>
    <t>1/1樓</t>
  </si>
  <si>
    <t xml:space="preserve">桃園市中壢區領航南路三段  </t>
  </si>
  <si>
    <t xml:space="preserve">創遊美人美兩房  </t>
  </si>
  <si>
    <t xml:space="preserve">新竹市新竹市新莊街  </t>
  </si>
  <si>
    <t xml:space="preserve">【大江山】大兩房景觀佳  </t>
  </si>
  <si>
    <t xml:space="preserve">新北市土城區學府路二段  </t>
  </si>
  <si>
    <t>27,500元/月</t>
  </si>
  <si>
    <t xml:space="preserve">精心裝潢美兩房  </t>
  </si>
  <si>
    <t xml:space="preserve">桃園市八德區豐德路  </t>
  </si>
  <si>
    <t xml:space="preserve">新北市淡水區新市一路三段  </t>
  </si>
  <si>
    <t xml:space="preserve">公園居３房車位可以租補  </t>
  </si>
  <si>
    <t>7/29樓</t>
  </si>
  <si>
    <t xml:space="preserve">新北市新莊區中平路  </t>
  </si>
  <si>
    <t xml:space="preserve">桃園市八德區中華路  </t>
  </si>
  <si>
    <t xml:space="preserve">台南市永康區永華路  </t>
  </si>
  <si>
    <t xml:space="preserve">新北市淡水區淡金路二段  </t>
  </si>
  <si>
    <t xml:space="preserve">新北市土城區學士路  </t>
  </si>
  <si>
    <t xml:space="preserve">新北市三峽區學勤路  </t>
  </si>
  <si>
    <t xml:space="preserve">前後陽台三面採光單戶寓  </t>
  </si>
  <si>
    <t xml:space="preserve">2房1廳2衛1室 </t>
  </si>
  <si>
    <t xml:space="preserve">台南市安平區安平路  </t>
  </si>
  <si>
    <t xml:space="preserve">近高大２房平車全新未住  </t>
  </si>
  <si>
    <t xml:space="preserve">高雄市楠梓區大學十九街  </t>
  </si>
  <si>
    <t xml:space="preserve">仰星殿高樓附家具  </t>
  </si>
  <si>
    <t>25/29樓</t>
  </si>
  <si>
    <t xml:space="preserve">台中市西屯區臺灣大道三段  </t>
  </si>
  <si>
    <t>18/24樓</t>
  </si>
  <si>
    <t xml:space="preserve">新竹縣竹北市莊敬五街  </t>
  </si>
  <si>
    <t>22/24樓</t>
  </si>
  <si>
    <t xml:space="preserve">台中市北區進化路  </t>
  </si>
  <si>
    <t xml:space="preserve">萬大線連城公寓３房  </t>
  </si>
  <si>
    <t xml:space="preserve">新北市中和區連城路  </t>
  </si>
  <si>
    <t xml:space="preserve">台中市北屯區環太東路  </t>
  </si>
  <si>
    <t xml:space="preserve">台中市南區東興路一段  </t>
  </si>
  <si>
    <t>22,500元/月</t>
  </si>
  <si>
    <t xml:space="preserve">桃園市桃園區民光東路  </t>
  </si>
  <si>
    <t xml:space="preserve">高雄市前鎮區中華五路  </t>
  </si>
  <si>
    <t xml:space="preserve">綠海都心 / 台南市永康區東橋五路  </t>
  </si>
  <si>
    <t xml:space="preserve">桃園市龜山區文學路  </t>
  </si>
  <si>
    <t>1-3/5樓</t>
  </si>
  <si>
    <t>12/24樓</t>
  </si>
  <si>
    <t xml:space="preserve">台中市西屯區福科路  </t>
  </si>
  <si>
    <t xml:space="preserve">台南市安南區樂活一街  </t>
  </si>
  <si>
    <t>19/19樓</t>
  </si>
  <si>
    <t>18,800元/月</t>
  </si>
  <si>
    <t>24/24樓</t>
  </si>
  <si>
    <t xml:space="preserve">『新天母』稀有釋出  </t>
  </si>
  <si>
    <t xml:space="preserve">新北市淡水區自強路  </t>
  </si>
  <si>
    <t xml:space="preserve">【首選】上和苑三房車位  </t>
  </si>
  <si>
    <t xml:space="preserve">新北市新莊區福德二街  </t>
  </si>
  <si>
    <t>16/28樓</t>
  </si>
  <si>
    <t xml:space="preserve">台中市西屯區國安一路  </t>
  </si>
  <si>
    <t xml:space="preserve">民生香榭大２房平車含管  </t>
  </si>
  <si>
    <t>15/28樓</t>
  </si>
  <si>
    <t xml:space="preserve">高雄市前金區大同一路  </t>
  </si>
  <si>
    <t>4/26樓</t>
  </si>
  <si>
    <t xml:space="preserve">將捷之森裝潢兩房２  </t>
  </si>
  <si>
    <t>16/26樓</t>
  </si>
  <si>
    <t xml:space="preserve">將捷之森裝潢兩房１  </t>
  </si>
  <si>
    <t>15/26樓</t>
  </si>
  <si>
    <t xml:space="preserve">將捷之森裝潢兩房３  </t>
  </si>
  <si>
    <t xml:space="preserve">近淡水捷運站溫馨三房  </t>
  </si>
  <si>
    <t xml:space="preserve">新北市淡水區平遠街  </t>
  </si>
  <si>
    <t xml:space="preserve">高雄市鼓山區美術東四路  </t>
  </si>
  <si>
    <t xml:space="preserve">新竹市新竹市光復路一段  </t>
  </si>
  <si>
    <t>3/24樓</t>
  </si>
  <si>
    <t xml:space="preserve">台中市太平區旱溪東路二段  </t>
  </si>
  <si>
    <t xml:space="preserve">4房2廳2衛(含加蓋 2房) </t>
  </si>
  <si>
    <t xml:space="preserve">德安家康樓中樓附平車  </t>
  </si>
  <si>
    <t xml:space="preserve">4房2廳2衛1室(含加蓋 1房) </t>
  </si>
  <si>
    <t xml:space="preserve">新竹市新竹市武陵路  </t>
  </si>
  <si>
    <t>9/13樓</t>
  </si>
  <si>
    <t xml:space="preserve">優質地段真藏大３房  </t>
  </si>
  <si>
    <t xml:space="preserve">新竹縣竹北市成功三路  </t>
  </si>
  <si>
    <t>7/24樓</t>
  </si>
  <si>
    <t>5/24樓</t>
  </si>
  <si>
    <t xml:space="preserve">桃園市八德區建德路  </t>
  </si>
  <si>
    <t xml:space="preserve">桃園市八德區介壽路二段  </t>
  </si>
  <si>
    <t xml:space="preserve">台南市安平區國平北路  </t>
  </si>
  <si>
    <t xml:space="preserve">台南市中西區中華西路二段  </t>
  </si>
  <si>
    <t>18/20樓</t>
  </si>
  <si>
    <t xml:space="preserve">高雄市三民區民族一路  </t>
  </si>
  <si>
    <t xml:space="preserve">可租補～后庄北４房＋車位  </t>
  </si>
  <si>
    <t xml:space="preserve">台中市北屯區后庄北路  </t>
  </si>
  <si>
    <t xml:space="preserve">高雄市楠梓區加昌路  </t>
  </si>
  <si>
    <t xml:space="preserve">中科優美庭院別墅  </t>
  </si>
  <si>
    <t xml:space="preserve">5房3廳2衛(含加蓋 1房1廳) </t>
  </si>
  <si>
    <t xml:space="preserve">台中市西區柳川東路二段  </t>
  </si>
  <si>
    <t>6/22樓</t>
  </si>
  <si>
    <t xml:space="preserve">高雄市新興區復橫一路  </t>
  </si>
  <si>
    <t xml:space="preserve">台中市北屯區敦富三街  </t>
  </si>
  <si>
    <t xml:space="preserve">新竹縣竹北市高鐵東二路  </t>
  </si>
  <si>
    <t>https://www.sinyi.com.tw/rent/houseno/C344175</t>
  </si>
  <si>
    <t xml:space="preserve">【奇磊】全新裝潢大套房  </t>
  </si>
  <si>
    <t xml:space="preserve">公益向上三房雙陽台採光好  </t>
  </si>
  <si>
    <t xml:space="preserve">台中市西區向上路一段  </t>
  </si>
  <si>
    <t xml:space="preserve">新北市新莊區民安西路  </t>
  </si>
  <si>
    <t xml:space="preserve">新北市永和區成功路一段  </t>
  </si>
  <si>
    <t>21/27樓</t>
  </si>
  <si>
    <t>8/18樓</t>
  </si>
  <si>
    <t xml:space="preserve">桃園市蘆竹區奉化路  </t>
  </si>
  <si>
    <t xml:space="preserve">彰化縣彰化市福馬街  </t>
  </si>
  <si>
    <t xml:space="preserve">北門青年轉角三房一室  </t>
  </si>
  <si>
    <t xml:space="preserve">台南市中西區北門路一段  </t>
  </si>
  <si>
    <t xml:space="preserve">近葳格泰鉅捷世代三房平車  </t>
  </si>
  <si>
    <t xml:space="preserve">台中市北屯區松竹五路二段  </t>
  </si>
  <si>
    <t xml:space="preserve">永信星光高樓三房平車  </t>
  </si>
  <si>
    <t xml:space="preserve">三光國小雅房Ａ  </t>
  </si>
  <si>
    <t xml:space="preserve">新北市三重區大同南路  </t>
  </si>
  <si>
    <t xml:space="preserve">鬧區巷弄中的溫馨住宅  </t>
  </si>
  <si>
    <t xml:space="preserve">新北市蘆洲區正和街  </t>
  </si>
  <si>
    <t xml:space="preserve">Ａ１８自由之丘２房車位  </t>
  </si>
  <si>
    <t xml:space="preserve">桃園市中壢區高鐵站前西路二段  </t>
  </si>
  <si>
    <t xml:space="preserve">新北市土城區中央路四段  </t>
  </si>
  <si>
    <t xml:space="preserve">桃園市桃園區朝陽街  </t>
  </si>
  <si>
    <t xml:space="preserve">新北市新店區福園街  </t>
  </si>
  <si>
    <t xml:space="preserve">❤夏都溫馨美美居含車位❤  </t>
  </si>
  <si>
    <t xml:space="preserve">台中市西區忠明南路  </t>
  </si>
  <si>
    <t xml:space="preserve">稀有！近中國醫臨路店面  </t>
  </si>
  <si>
    <t xml:space="preserve">台中市北區文化街  </t>
  </si>
  <si>
    <t xml:space="preserve">新北市土城區金城路二段  </t>
  </si>
  <si>
    <t xml:space="preserve">惠中路透天可住可店  </t>
  </si>
  <si>
    <t xml:space="preserve">4房2廳2衛(含加蓋 1廳2衛) </t>
  </si>
  <si>
    <t xml:space="preserve">台中市西屯區惠中路  </t>
  </si>
  <si>
    <t xml:space="preserve">台中市南區復興路二段  </t>
  </si>
  <si>
    <t xml:space="preserve">5房2廳2衛(含加蓋 1房) </t>
  </si>
  <si>
    <t xml:space="preserve">新竹市新竹市勝利路  </t>
  </si>
  <si>
    <t xml:space="preserve">【疊翠】舒適陽台套房  </t>
  </si>
  <si>
    <t xml:space="preserve">新北市淡水區興福寮  </t>
  </si>
  <si>
    <t>25,800元/月</t>
  </si>
  <si>
    <t xml:space="preserve">新北市泰山區泰林路二段  </t>
  </si>
  <si>
    <t xml:space="preserve">新竹縣竹北市隘口六街  </t>
  </si>
  <si>
    <t xml:space="preserve">新北市板橋區民有街  </t>
  </si>
  <si>
    <t xml:space="preserve">培英國中三房  </t>
  </si>
  <si>
    <t xml:space="preserve">新竹市新竹市園後街  </t>
  </si>
  <si>
    <t>https://www.sinyi.com.tw/rent/houseno/C348945</t>
  </si>
  <si>
    <t xml:space="preserve">【聯合公園】舒適一房車位  </t>
  </si>
  <si>
    <t xml:space="preserve">新北市新莊區富貴路  </t>
  </si>
  <si>
    <t>35,600元/月</t>
  </si>
  <si>
    <t xml:space="preserve">桃園市龜山區文禾路  </t>
  </si>
  <si>
    <t xml:space="preserve">寓上樂灣三房平車精裝戶  </t>
  </si>
  <si>
    <t>28,999元/月</t>
  </si>
  <si>
    <t>17/22樓</t>
  </si>
  <si>
    <t xml:space="preserve">樸日１７樓景觀平車宅  </t>
  </si>
  <si>
    <t xml:space="preserve">台南市安南區郡安路六段  </t>
  </si>
  <si>
    <t xml:space="preserve">樸日１６樓景觀平車宅  </t>
  </si>
  <si>
    <t xml:space="preserve">高雄市左營區文川路  </t>
  </si>
  <si>
    <t xml:space="preserve">新北市五股區成泰路三段  </t>
  </si>
  <si>
    <t>7/28樓</t>
  </si>
  <si>
    <t xml:space="preserve">台中市西屯區市政北一路  </t>
  </si>
  <si>
    <t xml:space="preserve">台南市安平區永華路二段  </t>
  </si>
  <si>
    <t xml:space="preserve">★皇翔第一站３＋１房  </t>
  </si>
  <si>
    <t xml:space="preserve">新北市土城區樂利街  </t>
  </si>
  <si>
    <t xml:space="preserve">台南市永康區中華二路  </t>
  </si>
  <si>
    <t xml:space="preserve">近逢甲達麗Ｊ１２三房平車  </t>
  </si>
  <si>
    <t xml:space="preserve">台中市西屯區福星北路  </t>
  </si>
  <si>
    <t xml:space="preserve">正永華路市政金店面  </t>
  </si>
  <si>
    <t xml:space="preserve">1房6廳5衛(含加蓋 1廳2衛) </t>
  </si>
  <si>
    <t xml:space="preserve">三光國小雅房Ｂ  </t>
  </si>
  <si>
    <t xml:space="preserve">近中原大學分租套房Ａ室  </t>
  </si>
  <si>
    <t xml:space="preserve">桃園市中壢區中山東路一段  </t>
  </si>
  <si>
    <t xml:space="preserve">長榮路溫馨小資套房  </t>
  </si>
  <si>
    <t xml:space="preserve">台南市東區長榮路一段  </t>
  </si>
  <si>
    <t xml:space="preserve">新北市土城區中央路二段  </t>
  </si>
  <si>
    <t xml:space="preserve">＊市政大道美妝二房二衛戶  </t>
  </si>
  <si>
    <t>11/22樓</t>
  </si>
  <si>
    <t>10,500元/月</t>
  </si>
  <si>
    <t xml:space="preserve">台中市西屯區黎明路三段  </t>
  </si>
  <si>
    <t xml:space="preserve">新北市土城區金信街  </t>
  </si>
  <si>
    <t xml:space="preserve">台中市西屯區市政路  </t>
  </si>
  <si>
    <t xml:space="preserve">新北市中和區景平路  </t>
  </si>
  <si>
    <t xml:space="preserve">視野！國聚之碩大三房平車  </t>
  </si>
  <si>
    <t xml:space="preserve">桃園市中壢區元化路  </t>
  </si>
  <si>
    <t xml:space="preserve">ＴＯＰＯＮＥ高樓兩房車位  </t>
  </si>
  <si>
    <t xml:space="preserve">高雄市楠梓區藍田路  </t>
  </si>
  <si>
    <t xml:space="preserve">聯上海棠邊間平車  </t>
  </si>
  <si>
    <t xml:space="preserve">4房2廳1衛(含加蓋 2房) </t>
  </si>
  <si>
    <t>20/27樓</t>
  </si>
  <si>
    <t xml:space="preserve">台中市西屯區環中路三段  </t>
  </si>
  <si>
    <t xml:space="preserve">ｉ世界高樓景觀２房平車宅  </t>
  </si>
  <si>
    <t xml:space="preserve">高雄市左營區鼓山三路  </t>
  </si>
  <si>
    <t xml:space="preserve">台中市中區自由路二段  </t>
  </si>
  <si>
    <t xml:space="preserve">台中市東區進德路  </t>
  </si>
  <si>
    <t xml:space="preserve">小檜溪着東騰美兩房車位  </t>
  </si>
  <si>
    <t>11/16樓</t>
  </si>
  <si>
    <t xml:space="preserve">新北市汐止區樟樹一路  </t>
  </si>
  <si>
    <t xml:space="preserve">台中市南區學府路  </t>
  </si>
  <si>
    <t xml:space="preserve">台南市北區公園南路  </t>
  </si>
  <si>
    <t xml:space="preserve">新北市五股區成泰路一段  </t>
  </si>
  <si>
    <t xml:space="preserve">大地子民２房２衛裝潢戶  </t>
  </si>
  <si>
    <t xml:space="preserve">台中市西屯區市政北三路  </t>
  </si>
  <si>
    <t>28/28樓</t>
  </si>
  <si>
    <t>22/27樓</t>
  </si>
  <si>
    <t xml:space="preserve">大世紀三房平車可租補  </t>
  </si>
  <si>
    <t>4-5/5樓</t>
  </si>
  <si>
    <t xml:space="preserve">台中市南區仁義街  </t>
  </si>
  <si>
    <t xml:space="preserve">大面寬電梯豪墅近東山高中  </t>
  </si>
  <si>
    <t xml:space="preserve">6房3廳7衛 </t>
  </si>
  <si>
    <t xml:space="preserve">台中市北屯區三甲路  </t>
  </si>
  <si>
    <t xml:space="preserve">新竹縣竹北市興隆路五段  </t>
  </si>
  <si>
    <t xml:space="preserve">光華國小公寓２樓  </t>
  </si>
  <si>
    <t xml:space="preserve">新北市汐止區民族五街  </t>
  </si>
  <si>
    <t xml:space="preserve">台中市梧棲區文明街  </t>
  </si>
  <si>
    <t xml:space="preserve">依莎美學高樓三房雙車位  </t>
  </si>
  <si>
    <t xml:space="preserve">桃園市中壢區新中二街  </t>
  </si>
  <si>
    <t xml:space="preserve">後驛商圈復古文青透天  </t>
  </si>
  <si>
    <t xml:space="preserve">高雄市三民區天津街  </t>
  </si>
  <si>
    <t xml:space="preserve">新北市新莊區福營路  </t>
  </si>
  <si>
    <t xml:space="preserve">大任凱悅採光好視野好美  </t>
  </si>
  <si>
    <t xml:space="preserve">新竹縣竹北市縣政七街  </t>
  </si>
  <si>
    <t xml:space="preserve">帝璟謙和裝潢附平面車位  </t>
  </si>
  <si>
    <t xml:space="preserve">台中市北屯區中平路  </t>
  </si>
  <si>
    <t xml:space="preserve">新北市淡水區淡金路一段  </t>
  </si>
  <si>
    <t xml:space="preserve">國際高鐵雙星  </t>
  </si>
  <si>
    <t xml:space="preserve">國際高鐵-國際金融雙星 / 桃園市中壢區高鐵站前西路一段  </t>
  </si>
  <si>
    <t xml:space="preserve">台中市南區文心南路  </t>
  </si>
  <si>
    <t xml:space="preserve">天河次頂樓兩房  </t>
  </si>
  <si>
    <t>36,500元/月</t>
  </si>
  <si>
    <t>15/25樓</t>
  </si>
  <si>
    <t xml:space="preserve">5房2廳2衛(含加蓋 2房) </t>
  </si>
  <si>
    <t xml:space="preserve">新北市三重區水漾路一段  </t>
  </si>
  <si>
    <t xml:space="preserve">天鵝堡捷運２房丨含管理費  </t>
  </si>
  <si>
    <t xml:space="preserve">高雄市楠梓區惠正街  </t>
  </si>
  <si>
    <t xml:space="preserve">丹鳳捷運站三房車  </t>
  </si>
  <si>
    <t xml:space="preserve">捷市悅兩房車位有家具  </t>
  </si>
  <si>
    <t xml:space="preserve">惠宇上和兩房兩衛浴附平車  </t>
  </si>
  <si>
    <t xml:space="preserve">台中市烏日區環河路四段  </t>
  </si>
  <si>
    <t xml:space="preserve">新埔二樓大空間  </t>
  </si>
  <si>
    <t xml:space="preserve">面公園｜綠海都心三房平車  </t>
  </si>
  <si>
    <t xml:space="preserve">綠海都心朝外景觀三房平車  </t>
  </si>
  <si>
    <t xml:space="preserve">龍舜東方｜景觀三房平車  </t>
  </si>
  <si>
    <t xml:space="preserve">第一園兩房出租  </t>
  </si>
  <si>
    <t>https://www.sinyi.com.tw/rent/houseno/C348157</t>
  </si>
  <si>
    <t xml:space="preserve">敦北南京小豪宅  </t>
  </si>
  <si>
    <t xml:space="preserve">新東街綠意優質套房  </t>
  </si>
  <si>
    <t xml:space="preserve">福園溫馨３房  </t>
  </si>
  <si>
    <t xml:space="preserve">馬到成功樹山丘三房車  </t>
  </si>
  <si>
    <t xml:space="preserve">高鐵站廣璞園的家三房車位  </t>
  </si>
  <si>
    <t xml:space="preserve">永和低樓層收租套房－３  </t>
  </si>
  <si>
    <t xml:space="preserve">永和低樓層收租套房－２  </t>
  </si>
  <si>
    <t xml:space="preserve">潤隆兩房含管車可租補養貓  </t>
  </si>
  <si>
    <t xml:space="preserve">惠宇天青裝潢戶含三平車位  </t>
  </si>
  <si>
    <t xml:space="preserve">近捷運低樓層四房採光佳  </t>
  </si>
  <si>
    <t>23-24/26樓</t>
  </si>
  <si>
    <t xml:space="preserve">近永康藏壽司優質美墅  </t>
  </si>
  <si>
    <t xml:space="preserve">5房2廳4衛(含加蓋 1房1衛) </t>
  </si>
  <si>
    <t xml:space="preserve">台南市永康區八德街  </t>
  </si>
  <si>
    <t>物業名稱</t>
  </si>
  <si>
    <t>物業類型</t>
  </si>
  <si>
    <t>原始地址</t>
  </si>
  <si>
    <t>宜蘭縣</t>
  </si>
  <si>
    <t>苗栗縣</t>
  </si>
  <si>
    <t>桃園市</t>
  </si>
  <si>
    <t>高雄市</t>
  </si>
  <si>
    <t>基隆市</t>
  </si>
  <si>
    <t>新北市</t>
  </si>
  <si>
    <t>新竹市</t>
  </si>
  <si>
    <t>新竹縣</t>
  </si>
  <si>
    <t>彰化縣</t>
  </si>
  <si>
    <t>總計</t>
  </si>
  <si>
    <t>租金(月)</t>
  </si>
  <si>
    <t>南投縣</t>
  </si>
  <si>
    <t>雲林縣</t>
  </si>
  <si>
    <t>嘉義市</t>
  </si>
  <si>
    <t>嘉義縣</t>
  </si>
  <si>
    <t>屏東縣</t>
  </si>
  <si>
    <t>澎湖縣</t>
  </si>
  <si>
    <t>北部</t>
    <phoneticPr fontId="1" type="noConversion"/>
  </si>
  <si>
    <t>中部</t>
    <phoneticPr fontId="1" type="noConversion"/>
  </si>
  <si>
    <t>南部</t>
    <phoneticPr fontId="1" type="noConversion"/>
  </si>
  <si>
    <t>台北市</t>
    <phoneticPr fontId="1" type="noConversion"/>
  </si>
  <si>
    <t>台中市</t>
    <phoneticPr fontId="1" type="noConversion"/>
  </si>
  <si>
    <t>台南市</t>
    <phoneticPr fontId="1" type="noConversion"/>
  </si>
  <si>
    <t>小坪數</t>
    <phoneticPr fontId="1" type="noConversion"/>
  </si>
  <si>
    <t>中坪數</t>
    <phoneticPr fontId="1" type="noConversion"/>
  </si>
  <si>
    <t>大坪數</t>
    <phoneticPr fontId="1" type="noConversion"/>
  </si>
  <si>
    <t xml:space="preserve">裝潢家具劍橋２房  </t>
  </si>
  <si>
    <t>12/29樓</t>
  </si>
  <si>
    <t xml:space="preserve">安忠路早安華城華廈一房  </t>
  </si>
  <si>
    <t xml:space="preserve">新北市新店區安忠路  </t>
  </si>
  <si>
    <t xml:space="preserve">綠意靜巷明亮寬敞三房  </t>
  </si>
  <si>
    <t xml:space="preserve">文化精裝高樓樹海四房平車  </t>
  </si>
  <si>
    <t xml:space="preserve">高雄市前鎮區和平二路  </t>
  </si>
  <si>
    <t xml:space="preserve">出租濟南金山大廈三樓  </t>
  </si>
  <si>
    <t xml:space="preserve">台北市中正區濟南路二段  </t>
  </si>
  <si>
    <t xml:space="preserve">忠孝新生三房極品美寓  </t>
  </si>
  <si>
    <t xml:space="preserve">近捷運國館１號出口住辦  </t>
  </si>
  <si>
    <t xml:space="preserve">台北市大安區光復南路  </t>
  </si>
  <si>
    <t xml:space="preserve">花都三房車位  </t>
  </si>
  <si>
    <t xml:space="preserve">捷運管理後棟景觀美套房  </t>
  </si>
  <si>
    <t xml:space="preserve">天母懷德４房附車位  </t>
  </si>
  <si>
    <t xml:space="preserve">誠意出租海華精美小資美宅  </t>
  </si>
  <si>
    <t xml:space="preserve">白天鵝百萬美景溫馨平車  </t>
  </si>
  <si>
    <t xml:space="preserve">烈美街一房一廳優質美屋  </t>
  </si>
  <si>
    <t xml:space="preserve">4房4廳3衛(含加蓋 4房2廳2衛) </t>
  </si>
  <si>
    <t xml:space="preserve">台中市西屯區烈美街  </t>
  </si>
  <si>
    <t xml:space="preserve">朱崙龍江美套  </t>
  </si>
  <si>
    <t xml:space="preserve">台北市中山區朱崙街  </t>
  </si>
  <si>
    <t xml:space="preserve">台視邊間電梯美妝三房  </t>
  </si>
  <si>
    <t xml:space="preserve">仁愛林園精美三房正面林蔭  </t>
  </si>
  <si>
    <t xml:space="preserve">3房2廳3.5衛2室 </t>
  </si>
  <si>
    <t xml:space="preserve">聚富滿滿裝潢三房  </t>
  </si>
  <si>
    <t xml:space="preserve">國安國宅大三房  </t>
  </si>
  <si>
    <t xml:space="preserve">天母忠義街套房附垃圾處理  </t>
  </si>
  <si>
    <t xml:space="preserve">台北市士林區忠義街  </t>
  </si>
  <si>
    <t xml:space="preserve">福馬街高ＣＰ美套房  </t>
  </si>
  <si>
    <t xml:space="preserve">八德路四段  </t>
  </si>
  <si>
    <t xml:space="preserve">台北市松山區八德路四段  </t>
  </si>
  <si>
    <t xml:space="preserve">說ＬＡＶＩＥ三房雙車位  </t>
  </si>
  <si>
    <t xml:space="preserve">新竹縣竹北市隘口三街  </t>
  </si>
  <si>
    <t xml:space="preserve">大面寬一樓公寓  </t>
  </si>
  <si>
    <t xml:space="preserve">近市區美屋  </t>
  </si>
  <si>
    <t xml:space="preserve">師院碧瑤  </t>
  </si>
  <si>
    <t xml:space="preserve">新竹市新竹市南大路  </t>
  </si>
  <si>
    <t xml:space="preserve">出租遠雄幸福成三房車位  </t>
  </si>
  <si>
    <t xml:space="preserve">台中市梧棲區八德路一段  </t>
  </si>
  <si>
    <t xml:space="preserve">東門捷運中正國中住辦一樓  </t>
  </si>
  <si>
    <t xml:space="preserve">中科高樓３房  </t>
  </si>
  <si>
    <t xml:space="preserve">只租辦公室－方便停車  </t>
  </si>
  <si>
    <t xml:space="preserve">桃園市八德區文昌街  </t>
  </si>
  <si>
    <t xml:space="preserve">威靈頓泳池別墅  </t>
  </si>
  <si>
    <t xml:space="preserve">5房2廳5衛1室(含加蓋 1房4衛1室) </t>
  </si>
  <si>
    <t xml:space="preserve">台北市北投區崇仰九路  </t>
  </si>
  <si>
    <t>185,000元/月</t>
  </si>
  <si>
    <t xml:space="preserve">第苑高樓２房  </t>
  </si>
  <si>
    <t xml:space="preserve">新竹市新竹市介壽一路  </t>
  </si>
  <si>
    <t xml:space="preserve">近清水中山路大面寬透天  </t>
  </si>
  <si>
    <t xml:space="preserve">8房2廳6衛(含加蓋 2房1衛) </t>
  </si>
  <si>
    <t xml:space="preserve">台中市清水區高美路  </t>
  </si>
  <si>
    <t xml:space="preserve">熊貓福華三房  </t>
  </si>
  <si>
    <t xml:space="preserve">全新兩房兩衛視野戶  </t>
  </si>
  <si>
    <t xml:space="preserve">河堤世界方正舒適宅  </t>
  </si>
  <si>
    <t xml:space="preserve">內湖溫馨大三房兩衛浴  </t>
  </si>
  <si>
    <t xml:space="preserve">三代同堂大空間！有車位！  </t>
  </si>
  <si>
    <t xml:space="preserve">3房3廳2.5衛 </t>
  </si>
  <si>
    <t xml:space="preserve">伯爵山莊三代 / 新北市汐止區伯爵街  </t>
  </si>
  <si>
    <t xml:space="preserve">麗池樂章三房美屋  </t>
  </si>
  <si>
    <t xml:space="preserve">可租補◆大空間三房附車位  </t>
  </si>
  <si>
    <t xml:space="preserve">台中市大里區新生路  </t>
  </si>
  <si>
    <t xml:space="preserve">有樂町電梯三房車位  </t>
  </si>
  <si>
    <t xml:space="preserve">台北市內湖區五分街  </t>
  </si>
  <si>
    <t xml:space="preserve">悠森活高樓景觀兩房車位  </t>
  </si>
  <si>
    <t xml:space="preserve">大慶夜市旁兩房  </t>
  </si>
  <si>
    <t xml:space="preserve">全新未住一房一廳２０１室  </t>
  </si>
  <si>
    <t xml:space="preserve">台中市大里區成功路  </t>
  </si>
  <si>
    <t xml:space="preserve">全新未住一房一廳２０２室  </t>
  </si>
  <si>
    <t xml:space="preserve">全新未住一房一廳２０３室  </t>
  </si>
  <si>
    <t xml:space="preserve">全新未住一房一廳２０４室  </t>
  </si>
  <si>
    <t xml:space="preserve">榮耀近新光美裝潢平車位  </t>
  </si>
  <si>
    <t xml:space="preserve">聚合發榮耀 / 台中市西屯區市政北七路  </t>
  </si>
  <si>
    <t xml:space="preserve">水湳二房可租補  </t>
  </si>
  <si>
    <t xml:space="preserve">家具皆可談北區三房平車  </t>
  </si>
  <si>
    <t xml:space="preserve">精美３房有車位  </t>
  </si>
  <si>
    <t xml:space="preserve">台北市士林區中山北路五段  </t>
  </si>
  <si>
    <t xml:space="preserve">世紀比漾大四房  </t>
  </si>
  <si>
    <t xml:space="preserve">七張建國路方正大一樓  </t>
  </si>
  <si>
    <t xml:space="preserve">新北市新店區建國路  </t>
  </si>
  <si>
    <t xml:space="preserve">近捷運永春站３房２樓美寓  </t>
  </si>
  <si>
    <t>標題</t>
    <phoneticPr fontId="1" type="noConversion"/>
  </si>
  <si>
    <t>建物數量</t>
    <phoneticPr fontId="1" type="noConversion"/>
  </si>
  <si>
    <t>平均租金</t>
    <phoneticPr fontId="1" type="noConversion"/>
  </si>
  <si>
    <t>一坪平均租金</t>
    <phoneticPr fontId="1" type="noConversion"/>
  </si>
  <si>
    <t>大坪數</t>
  </si>
  <si>
    <t>小坪數</t>
  </si>
  <si>
    <t>中坪數</t>
  </si>
  <si>
    <t>北部</t>
  </si>
  <si>
    <t>台北市</t>
  </si>
  <si>
    <t>一坪租金</t>
  </si>
  <si>
    <t>類型</t>
    <phoneticPr fontId="1" type="noConversion"/>
  </si>
  <si>
    <t>坪數</t>
    <phoneticPr fontId="1" type="noConversion"/>
  </si>
  <si>
    <t>格局</t>
    <phoneticPr fontId="1" type="noConversion"/>
  </si>
  <si>
    <t>地址</t>
    <phoneticPr fontId="1" type="noConversion"/>
  </si>
  <si>
    <t>樓層</t>
    <phoneticPr fontId="1" type="noConversion"/>
  </si>
  <si>
    <t>實際樓層</t>
  </si>
  <si>
    <t>最高樓層</t>
  </si>
  <si>
    <t>房</t>
  </si>
  <si>
    <t>廳</t>
  </si>
  <si>
    <t>衛</t>
  </si>
  <si>
    <t>標準地址</t>
  </si>
  <si>
    <t>縣市</t>
  </si>
  <si>
    <t>租金</t>
  </si>
  <si>
    <t>區</t>
  </si>
  <si>
    <t>坪數分級</t>
  </si>
  <si>
    <t>樓層分級</t>
  </si>
  <si>
    <t>計數</t>
  </si>
  <si>
    <t>平均租金</t>
  </si>
  <si>
    <t>加總 - 一坪平均租金</t>
  </si>
  <si>
    <t>建物名稱</t>
    <phoneticPr fontId="1" type="noConversion"/>
  </si>
  <si>
    <t>租金</t>
    <phoneticPr fontId="1" type="noConversion"/>
  </si>
  <si>
    <t>https://www.sinyi.com.tw/rent/houseno/C348002</t>
  </si>
  <si>
    <t>https://www.sinyi.com.tw/rent/houseno/C337309</t>
  </si>
  <si>
    <t>https://www.sinyi.com.tw/rent/houseno/C349948</t>
  </si>
  <si>
    <t>https://www.sinyi.com.tw/rent/houseno/C351805</t>
  </si>
  <si>
    <t>https://www.sinyi.com.tw/rent/houseno/C338336</t>
  </si>
  <si>
    <t>https://www.sinyi.com.tw/rent/houseno/C347788</t>
  </si>
  <si>
    <t>https://www.sinyi.com.tw/rent/houseno/C352801</t>
  </si>
  <si>
    <t>https://www.sinyi.com.tw/rent/houseno/C354007</t>
  </si>
  <si>
    <t>https://www.sinyi.com.tw/rent/houseno/C337598</t>
  </si>
  <si>
    <t>https://www.sinyi.com.tw/rent/houseno/C330114</t>
  </si>
  <si>
    <t>https://www.sinyi.com.tw/rent/houseno/C343339</t>
  </si>
  <si>
    <t xml:space="preserve">真愛＊麗寶Ｆｉｋａ三房  </t>
  </si>
  <si>
    <t>https://www.sinyi.com.tw/rent/houseno/C350136</t>
  </si>
  <si>
    <t>https://www.sinyi.com.tw/rent/houseno/C346738</t>
  </si>
  <si>
    <t>https://www.sinyi.com.tw/rent/houseno/C339550</t>
  </si>
  <si>
    <t>https://www.sinyi.com.tw/rent/houseno/C344186</t>
  </si>
  <si>
    <t>https://www.sinyi.com.tw/rent/houseno/C330480</t>
  </si>
  <si>
    <t>https://www.sinyi.com.tw/rent/houseno/C343948</t>
  </si>
  <si>
    <t>https://www.sinyi.com.tw/rent/houseno/C352266</t>
  </si>
  <si>
    <t>https://www.sinyi.com.tw/rent/houseno/C349791</t>
  </si>
  <si>
    <t>https://www.sinyi.com.tw/rent/houseno/C350208</t>
  </si>
  <si>
    <t>https://www.sinyi.com.tw/rent/houseno/C345610</t>
  </si>
  <si>
    <t>https://www.sinyi.com.tw/rent/houseno/C345654</t>
  </si>
  <si>
    <t>https://www.sinyi.com.tw/rent/houseno/C342864</t>
  </si>
  <si>
    <t>https://www.sinyi.com.tw/rent/houseno/C351027</t>
  </si>
  <si>
    <t>https://www.sinyi.com.tw/rent/houseno/C344896</t>
  </si>
  <si>
    <t>https://www.sinyi.com.tw/rent/houseno/C343444</t>
  </si>
  <si>
    <t>https://www.sinyi.com.tw/rent/houseno/C331131</t>
  </si>
  <si>
    <t>https://www.sinyi.com.tw/rent/houseno/C353723</t>
  </si>
  <si>
    <t>https://www.sinyi.com.tw/rent/houseno/C354202</t>
  </si>
  <si>
    <t>https://www.sinyi.com.tw/rent/houseno/C349445</t>
  </si>
  <si>
    <t>https://www.sinyi.com.tw/rent/houseno/C355484</t>
  </si>
  <si>
    <t>https://www.sinyi.com.tw/rent/houseno/C345713</t>
  </si>
  <si>
    <t>https://www.sinyi.com.tw/rent/houseno/C347189</t>
  </si>
  <si>
    <t>https://www.sinyi.com.tw/rent/houseno/C348467</t>
  </si>
  <si>
    <t>https://www.sinyi.com.tw/rent/houseno/C346186</t>
  </si>
  <si>
    <t>https://www.sinyi.com.tw/rent/houseno/C346492</t>
  </si>
  <si>
    <t>https://www.sinyi.com.tw/rent/houseno/C351948</t>
  </si>
  <si>
    <t>https://www.sinyi.com.tw/rent/houseno/C344763</t>
  </si>
  <si>
    <t>https://www.sinyi.com.tw/rent/houseno/C351950</t>
  </si>
  <si>
    <t>https://www.sinyi.com.tw/rent/houseno/C334540</t>
  </si>
  <si>
    <t>https://www.sinyi.com.tw/rent/houseno/C326598</t>
  </si>
  <si>
    <t>https://www.sinyi.com.tw/rent/houseno/C352587</t>
  </si>
  <si>
    <t>https://www.sinyi.com.tw/rent/houseno/C339471</t>
  </si>
  <si>
    <t>https://www.sinyi.com.tw/rent/houseno/C344330</t>
  </si>
  <si>
    <t>https://www.sinyi.com.tw/rent/houseno/C335634</t>
  </si>
  <si>
    <t>https://www.sinyi.com.tw/rent/houseno/C351867</t>
  </si>
  <si>
    <t>https://www.sinyi.com.tw/rent/houseno/C342536</t>
  </si>
  <si>
    <t>https://www.sinyi.com.tw/rent/houseno/C345551</t>
  </si>
  <si>
    <t>https://www.sinyi.com.tw/rent/houseno/C328859</t>
  </si>
  <si>
    <t>https://www.sinyi.com.tw/rent/houseno/C350615</t>
  </si>
  <si>
    <t>https://www.sinyi.com.tw/rent/houseno/C335878</t>
  </si>
  <si>
    <t>https://www.sinyi.com.tw/rent/houseno/C339597</t>
  </si>
  <si>
    <t>https://www.sinyi.com.tw/rent/houseno/C346297</t>
  </si>
  <si>
    <t>https://www.sinyi.com.tw/rent/houseno/C343011</t>
  </si>
  <si>
    <t>https://www.sinyi.com.tw/rent/houseno/C351852</t>
  </si>
  <si>
    <t>https://www.sinyi.com.tw/rent/houseno/C351854</t>
  </si>
  <si>
    <t>https://www.sinyi.com.tw/rent/houseno/C353384</t>
  </si>
  <si>
    <t>https://www.sinyi.com.tw/rent/houseno/C331873</t>
  </si>
  <si>
    <t>https://www.sinyi.com.tw/rent/houseno/C331140</t>
  </si>
  <si>
    <t>https://www.sinyi.com.tw/rent/houseno/C339559</t>
  </si>
  <si>
    <t>https://www.sinyi.com.tw/rent/houseno/C352567</t>
  </si>
  <si>
    <t>https://www.sinyi.com.tw/rent/houseno/C342288</t>
  </si>
  <si>
    <t>https://www.sinyi.com.tw/rent/houseno/C345320</t>
  </si>
  <si>
    <t>https://www.sinyi.com.tw/rent/houseno/C340794</t>
  </si>
  <si>
    <t>https://www.sinyi.com.tw/rent/houseno/C352525</t>
  </si>
  <si>
    <t>https://www.sinyi.com.tw/rent/houseno/C348812</t>
  </si>
  <si>
    <t>https://www.sinyi.com.tw/rent/houseno/C326261</t>
  </si>
  <si>
    <t>https://www.sinyi.com.tw/rent/houseno/C347976</t>
  </si>
  <si>
    <t>https://www.sinyi.com.tw/rent/houseno/C326971</t>
  </si>
  <si>
    <t>https://www.sinyi.com.tw/rent/houseno/C341985</t>
  </si>
  <si>
    <t>https://www.sinyi.com.tw/rent/houseno/C342778</t>
  </si>
  <si>
    <t>https://www.sinyi.com.tw/rent/houseno/C352087</t>
  </si>
  <si>
    <t>https://www.sinyi.com.tw/rent/houseno/C346536</t>
  </si>
  <si>
    <t>https://www.sinyi.com.tw/rent/houseno/C339901</t>
  </si>
  <si>
    <t>https://www.sinyi.com.tw/rent/houseno/C343866</t>
  </si>
  <si>
    <t>https://www.sinyi.com.tw/rent/houseno/C332417</t>
  </si>
  <si>
    <t>https://www.sinyi.com.tw/rent/houseno/C332413</t>
  </si>
  <si>
    <t>https://www.sinyi.com.tw/rent/houseno/C332414</t>
  </si>
  <si>
    <t>https://www.sinyi.com.tw/rent/houseno/C332415</t>
  </si>
  <si>
    <t>https://www.sinyi.com.tw/rent/houseno/C332416</t>
  </si>
  <si>
    <t>https://www.sinyi.com.tw/rent/houseno/C350429</t>
  </si>
  <si>
    <t>https://www.sinyi.com.tw/rent/houseno/C352663</t>
  </si>
  <si>
    <t>https://www.sinyi.com.tw/rent/houseno/C348376</t>
  </si>
  <si>
    <t>https://www.sinyi.com.tw/rent/houseno/C348372</t>
  </si>
  <si>
    <t>https://www.sinyi.com.tw/rent/houseno/C348858</t>
  </si>
  <si>
    <t>https://www.sinyi.com.tw/rent/houseno/C346979</t>
  </si>
  <si>
    <t>https://www.sinyi.com.tw/rent/houseno/C341491</t>
  </si>
  <si>
    <t>https://www.sinyi.com.tw/rent/houseno/C355482</t>
  </si>
  <si>
    <t>https://www.sinyi.com.tw/rent/houseno/C337696</t>
  </si>
  <si>
    <t>https://www.sinyi.com.tw/rent/houseno/C330116</t>
  </si>
  <si>
    <t>https://www.sinyi.com.tw/rent/houseno/C346418</t>
  </si>
  <si>
    <t>https://www.sinyi.com.tw/rent/houseno/C341969</t>
  </si>
  <si>
    <t>https://www.sinyi.com.tw/rent/houseno/C343208</t>
  </si>
  <si>
    <t>https://www.sinyi.com.tw/rent/houseno/C344630</t>
  </si>
  <si>
    <t>https://www.sinyi.com.tw/rent/houseno/C341515</t>
  </si>
  <si>
    <t>https://www.sinyi.com.tw/rent/houseno/C352632</t>
  </si>
  <si>
    <t>https://www.sinyi.com.tw/rent/houseno/C350984</t>
  </si>
  <si>
    <t>https://www.sinyi.com.tw/rent/houseno/C352630</t>
  </si>
  <si>
    <t>https://www.sinyi.com.tw/rent/houseno/C354884</t>
  </si>
  <si>
    <t>https://www.sinyi.com.tw/rent/houseno/C353081</t>
  </si>
  <si>
    <t>https://www.sinyi.com.tw/rent/houseno/C340377</t>
  </si>
  <si>
    <t>https://www.sinyi.com.tw/rent/houseno/C343209</t>
  </si>
  <si>
    <t>https://www.sinyi.com.tw/rent/houseno/C347154</t>
  </si>
  <si>
    <t>https://www.sinyi.com.tw/rent/houseno/C342537</t>
  </si>
  <si>
    <t>https://www.sinyi.com.tw/rent/houseno/C350464</t>
  </si>
  <si>
    <t>https://www.sinyi.com.tw/rent/houseno/C334530</t>
  </si>
  <si>
    <t>https://www.sinyi.com.tw/rent/houseno/C354442</t>
  </si>
  <si>
    <t>https://www.sinyi.com.tw/rent/houseno/C325939</t>
  </si>
  <si>
    <t>https://www.sinyi.com.tw/rent/houseno/C354882</t>
  </si>
  <si>
    <t>https://www.sinyi.com.tw/rent/houseno/C349829</t>
  </si>
  <si>
    <t>https://www.sinyi.com.tw/rent/houseno/C343641</t>
  </si>
  <si>
    <t>https://www.sinyi.com.tw/rent/houseno/C335200</t>
  </si>
  <si>
    <t>https://www.sinyi.com.tw/rent/houseno/C354883</t>
  </si>
  <si>
    <t>https://www.sinyi.com.tw/rent/houseno/C350666</t>
  </si>
  <si>
    <t>https://www.sinyi.com.tw/rent/houseno/C351242</t>
  </si>
  <si>
    <t>https://www.sinyi.com.tw/rent/houseno/C342227</t>
  </si>
  <si>
    <t>https://www.sinyi.com.tw/rent/houseno/C343020</t>
  </si>
  <si>
    <t>https://www.sinyi.com.tw/rent/houseno/C351070</t>
  </si>
  <si>
    <t>https://www.sinyi.com.tw/rent/houseno/C347959</t>
  </si>
  <si>
    <t>https://www.sinyi.com.tw/rent/houseno/C336901</t>
  </si>
  <si>
    <t>https://www.sinyi.com.tw/rent/houseno/C347395</t>
  </si>
  <si>
    <t>https://www.sinyi.com.tw/rent/houseno/C347394</t>
  </si>
  <si>
    <t>https://www.sinyi.com.tw/rent/houseno/C350109</t>
  </si>
  <si>
    <t>https://www.sinyi.com.tw/rent/houseno/C351963</t>
  </si>
  <si>
    <t>https://www.sinyi.com.tw/rent/houseno/C351962</t>
  </si>
  <si>
    <t>https://www.sinyi.com.tw/rent/houseno/C334156</t>
  </si>
  <si>
    <t>https://www.sinyi.com.tw/rent/houseno/C335973</t>
  </si>
  <si>
    <t>https://www.sinyi.com.tw/rent/houseno/C338480</t>
  </si>
  <si>
    <t>https://www.sinyi.com.tw/rent/houseno/C338683</t>
  </si>
  <si>
    <t>https://www.sinyi.com.tw/rent/houseno/C342134</t>
  </si>
  <si>
    <t>https://www.sinyi.com.tw/rent/houseno/C345216</t>
  </si>
  <si>
    <t>https://www.sinyi.com.tw/rent/houseno/C345388</t>
  </si>
  <si>
    <t>https://www.sinyi.com.tw/rent/houseno/C350236</t>
  </si>
  <si>
    <t>https://www.sinyi.com.tw/rent/houseno/C344528</t>
  </si>
  <si>
    <t>https://www.sinyi.com.tw/rent/houseno/C349675</t>
  </si>
  <si>
    <t>（空白）</t>
    <phoneticPr fontId="1" type="noConversion"/>
  </si>
  <si>
    <t>#VALUE!</t>
  </si>
  <si>
    <t xml:space="preserve">文心大地四房附平車  </t>
  </si>
  <si>
    <t xml:space="preserve">可寵可租補京城新世界２房  </t>
  </si>
  <si>
    <t xml:space="preserve">永安街二樓  </t>
  </si>
  <si>
    <t xml:space="preserve">台北灣採光高樓３房車位  </t>
  </si>
  <si>
    <t xml:space="preserve">台北灣 / 新北市淡水區新民街一段  </t>
  </si>
  <si>
    <t xml:space="preserve">可租補、設籍芝園美裝３房  </t>
  </si>
  <si>
    <t xml:space="preserve">可租補魔術空間漂亮美屋  </t>
  </si>
  <si>
    <t xml:space="preserve">2房2廳2衛(含加蓋 1房1衛) </t>
  </si>
  <si>
    <t xml:space="preserve">台中市北屯區軍福十三路  </t>
  </si>
  <si>
    <t xml:space="preserve">樟樹面靜巷電梯３房  </t>
  </si>
  <si>
    <t xml:space="preserve">建工商圈超讚巷透  </t>
  </si>
  <si>
    <t>1-2/1樓</t>
  </si>
  <si>
    <t xml:space="preserve">高雄市三民區大豐二路  </t>
  </si>
  <si>
    <t xml:space="preserve">可租補★挑高精緻美宅  </t>
  </si>
  <si>
    <t xml:space="preserve">惠文國小學區三房歡迎承租  </t>
  </si>
  <si>
    <t xml:space="preserve">台中市南屯區大業路  </t>
  </si>
  <si>
    <t xml:space="preserve">近漢神可寵三房車位  </t>
  </si>
  <si>
    <t xml:space="preserve">台中市北屯區松竹路二段  </t>
  </si>
  <si>
    <t xml:space="preserve">（新）北區三房平車附家具  </t>
  </si>
  <si>
    <t xml:space="preserve">２０２０三房車位傢電配置  </t>
  </si>
  <si>
    <t xml:space="preserve">總太青境２房平車  </t>
  </si>
  <si>
    <t xml:space="preserve">露台捷運復興崗美裝２房  </t>
  </si>
  <si>
    <t xml:space="preserve">亞灣區ｘ三房有平車  </t>
  </si>
  <si>
    <t xml:space="preserve">祥潤峰邑電梯大樓  </t>
  </si>
  <si>
    <t xml:space="preserve">中都樹禾苑３房平車  </t>
  </si>
  <si>
    <t xml:space="preserve">高雄市三民區美都路  </t>
  </si>
  <si>
    <t xml:space="preserve">中興大學舒適三房車位  </t>
  </si>
  <si>
    <t xml:space="preserve">三鐵美裝潢兩房雙衛平車  </t>
  </si>
  <si>
    <t xml:space="preserve">禾寅禾水岸水岸視野美屋  </t>
  </si>
  <si>
    <t xml:space="preserve">富宇水花園美三房  </t>
  </si>
  <si>
    <t xml:space="preserve">恆上海悦精美景觀美宅平車  </t>
  </si>
  <si>
    <t xml:space="preserve">1房2廳2衛1室 </t>
  </si>
  <si>
    <t xml:space="preserve">文華國小三房美屋  </t>
  </si>
  <si>
    <t xml:space="preserve">桃園市龜山區文東五街  </t>
  </si>
  <si>
    <t xml:space="preserve">可租補！新環境裝潢美套房  </t>
  </si>
  <si>
    <t xml:space="preserve">新北市淡水區學府路  </t>
  </si>
  <si>
    <t xml:space="preserve">紅透天稀有釋出  </t>
  </si>
  <si>
    <t xml:space="preserve">桃園市中壢區榮安七街  </t>
  </si>
  <si>
    <t xml:space="preserve">城揚大家精美２房車位  </t>
  </si>
  <si>
    <t xml:space="preserve">高雄市鳳山區福誠五街  </t>
  </si>
  <si>
    <t xml:space="preserve">城揚大家高樓２房車位  </t>
  </si>
  <si>
    <t xml:space="preserve">關新大三房  </t>
  </si>
  <si>
    <t xml:space="preserve">天祥２樓裝潢三房  </t>
  </si>
  <si>
    <t xml:space="preserve">新北市新莊區天祥街  </t>
  </si>
  <si>
    <t xml:space="preserve">麗園道✦附家俱裝潢美套  </t>
  </si>
  <si>
    <t xml:space="preserve">選＊三房平車．高樓裝潢戶  </t>
  </si>
  <si>
    <t xml:space="preserve">淡江有約三房車位  </t>
  </si>
  <si>
    <t xml:space="preserve">近捷運溫馨一房二廳首選  </t>
  </si>
  <si>
    <t xml:space="preserve">新北市淡水區三民街  </t>
  </si>
  <si>
    <t xml:space="preserve">珠海薇閣大空間美廈  </t>
  </si>
  <si>
    <t xml:space="preserve">台北市北投區珠海路  </t>
  </si>
  <si>
    <t xml:space="preserve">低樓層免爬高３房  </t>
  </si>
  <si>
    <t xml:space="preserve">新北市板橋區田單街  </t>
  </si>
  <si>
    <t xml:space="preserve">日健悅●兩房車位  </t>
  </si>
  <si>
    <t xml:space="preserve">新北市三重區信義西街  </t>
  </si>
  <si>
    <t xml:space="preserve">精銳全新未住三房平車  </t>
  </si>
  <si>
    <t xml:space="preserve">凱悅一房附車位含管理費  </t>
  </si>
  <si>
    <t>12/22樓</t>
  </si>
  <si>
    <t xml:space="preserve">湖濱城１６Ｆ美兩房  </t>
  </si>
  <si>
    <t xml:space="preserve">Ａ７富宇富御三房車位  </t>
  </si>
  <si>
    <t xml:space="preserve">東園精緻美妝宅  </t>
  </si>
  <si>
    <t xml:space="preserve">台北市萬華區東園街  </t>
  </si>
  <si>
    <t xml:space="preserve">西門裝潢採光大房家具齊  </t>
  </si>
  <si>
    <t xml:space="preserve">台北市萬華區成都路  </t>
  </si>
  <si>
    <t xml:space="preserve">勝美學搶手採光兩房平車  </t>
  </si>
  <si>
    <t>17/18樓</t>
  </si>
  <si>
    <t xml:space="preserve">微笑之心高樓邊間三房  </t>
  </si>
  <si>
    <t xml:space="preserve">近大巨蛋免爬高方正二樓寓  </t>
  </si>
  <si>
    <t xml:space="preserve">可租補～水湳二樓裝潢３房  </t>
  </si>
  <si>
    <t xml:space="preserve">可租補～后庄北路透天別墅  </t>
  </si>
  <si>
    <t xml:space="preserve">西區精美四房  </t>
  </si>
  <si>
    <t xml:space="preserve">4房2廳2衛(含加蓋 2房1衛) </t>
  </si>
  <si>
    <t xml:space="preserve">台中市西區博館路  </t>
  </si>
  <si>
    <t xml:space="preserve">興大書香園同學合租宅  </t>
  </si>
  <si>
    <t xml:space="preserve">元百大鎮四房平車  </t>
  </si>
  <si>
    <t xml:space="preserve">台中市大里區向學一路  </t>
  </si>
  <si>
    <t xml:space="preserve">惠宇敦北大三房平車附傢俱  </t>
  </si>
  <si>
    <t xml:space="preserve">惠宇敦北 / 台中市北屯區南興路  </t>
  </si>
  <si>
    <t xml:space="preserve">文山帝匯美２房平車含管  </t>
  </si>
  <si>
    <t xml:space="preserve">高雄市三民區褒揚東街  </t>
  </si>
  <si>
    <t xml:space="preserve">東新街機能２房  </t>
  </si>
  <si>
    <t xml:space="preserve">台北市南港區東新街  </t>
  </si>
  <si>
    <t xml:space="preserve">遠雄青溪小檜溪重劃區  </t>
  </si>
  <si>
    <t xml:space="preserve">可租補２樓公寓  </t>
  </si>
  <si>
    <t xml:space="preserve">新北市三重區環河南路  </t>
  </si>
  <si>
    <t xml:space="preserve">遠見禾悅全新大三房平車  </t>
  </si>
  <si>
    <t xml:space="preserve">高雄市楠梓區大學南路  </t>
  </si>
  <si>
    <t xml:space="preserve">大業國中旁金店面  </t>
  </si>
  <si>
    <t xml:space="preserve">大官邸 / 台中市南屯區大進街  </t>
  </si>
  <si>
    <t xml:space="preserve">公園里２＋１視野宅  </t>
  </si>
  <si>
    <t xml:space="preserve">桃園市八德區興豐路  </t>
  </si>
  <si>
    <t xml:space="preserve">水舞川｜質感透光兩房平車  </t>
  </si>
  <si>
    <t xml:space="preserve">溫馨日日２房車位  </t>
  </si>
  <si>
    <t xml:space="preserve">公園  </t>
  </si>
  <si>
    <t>21/21樓</t>
  </si>
  <si>
    <t xml:space="preserve">高雄市左營區富國路  </t>
  </si>
  <si>
    <t xml:space="preserve">師大ＢＬＯＧ◆景觀套房  </t>
  </si>
  <si>
    <t xml:space="preserve">台北市大安區師大路  </t>
  </si>
  <si>
    <t xml:space="preserve">三和路住了就開心  </t>
  </si>
  <si>
    <t xml:space="preserve">新北市三重區三和路三段  </t>
  </si>
  <si>
    <t xml:space="preserve">永康視野美景小資美居  </t>
  </si>
  <si>
    <t xml:space="preserve">3房2廳2衛1室(含加蓋 2房1廳1衛1室) </t>
  </si>
  <si>
    <t xml:space="preserve">台南市永康區中華一路  </t>
  </si>
  <si>
    <t xml:space="preserve">近捷運新屋裝潢兩房車位讚  </t>
  </si>
  <si>
    <t>18/31樓</t>
  </si>
  <si>
    <t xml:space="preserve">誠豐天廈近文心森林公園站  </t>
  </si>
  <si>
    <t xml:space="preserve">6房1廳6衛 </t>
  </si>
  <si>
    <t xml:space="preserve">台中市南屯區向上南路一段  </t>
  </si>
  <si>
    <t xml:space="preserve">太平附家具美三房平雙平車  </t>
  </si>
  <si>
    <t xml:space="preserve">椰林科大賀大三房平面車位  </t>
  </si>
  <si>
    <t xml:space="preserve">新竹縣竹北市科大一路  </t>
  </si>
  <si>
    <t xml:space="preserve">耀承一品高雅兩房車位  </t>
  </si>
  <si>
    <t xml:space="preserve">有伴溫馨三房車位  </t>
  </si>
  <si>
    <t xml:space="preserve">大安世紀花園景觀四房  </t>
  </si>
  <si>
    <t>5/17樓</t>
  </si>
  <si>
    <t xml:space="preserve">☆市政愛悅☆寧靜美屋  </t>
  </si>
  <si>
    <t>7/36樓</t>
  </si>
  <si>
    <t xml:space="preserve">國際金融雙星７樓  </t>
  </si>
  <si>
    <t xml:space="preserve">桃園市中壢區高鐵站前西路一段  </t>
  </si>
  <si>
    <t xml:space="preserve">正慶平路面寬約１０米店住  </t>
  </si>
  <si>
    <t>1-2/13樓</t>
  </si>
  <si>
    <t xml:space="preserve">5房3廳4衛(含加蓋 1廳) </t>
  </si>
  <si>
    <t xml:space="preserve">愛琴海 / 台南市安平區慶平路  </t>
  </si>
  <si>
    <t xml:space="preserve">中和公寓二樓三房  </t>
  </si>
  <si>
    <t xml:space="preserve">捷運首席  </t>
  </si>
  <si>
    <t xml:space="preserve">新北市三重區過圳街  </t>
  </si>
  <si>
    <t xml:space="preserve">惠宇上和３房平車  </t>
  </si>
  <si>
    <t xml:space="preserve">日月光‧雲端尊爵３房車位  </t>
  </si>
  <si>
    <t>23/28樓</t>
  </si>
  <si>
    <t xml:space="preserve">近清大｜鴻儒天下大四房  </t>
  </si>
  <si>
    <t xml:space="preserve">新竹市新竹市建中一路  </t>
  </si>
  <si>
    <t xml:space="preserve">新光三越｜兩房兩衛平車  </t>
  </si>
  <si>
    <t xml:space="preserve">台南市北區和緯路二段  </t>
  </si>
  <si>
    <t xml:space="preserve">國泰荷蘭村大４房平車  </t>
  </si>
  <si>
    <t xml:space="preserve">有誠意精美三房車位  </t>
  </si>
  <si>
    <t xml:space="preserve">桃園市八德區建國路  </t>
  </si>
  <si>
    <t xml:space="preserve">坎城假期悠閒兩房  </t>
  </si>
  <si>
    <t xml:space="preserve">忠駝看１０１（暫不介紹）  </t>
  </si>
  <si>
    <t xml:space="preserve">大安公園美景水樹之間  </t>
  </si>
  <si>
    <t>118,000元/月</t>
  </si>
  <si>
    <t xml:space="preserve">深ＣＡＳＡ⭐三房平車⭐  </t>
  </si>
  <si>
    <t xml:space="preserve">雙敦學區華廈美三房  </t>
  </si>
  <si>
    <t xml:space="preserve">敦化一品 / 台北市松山區八德路二段  </t>
  </si>
  <si>
    <t xml:space="preserve">敦北雅緻３房林蔭景觀  </t>
  </si>
  <si>
    <t xml:space="preserve">超級Ｆ１‧高雅質感  </t>
  </si>
  <si>
    <t xml:space="preserve">新北市板橋區新府路  </t>
  </si>
  <si>
    <t xml:space="preserve">採光好三房  </t>
  </si>
  <si>
    <t xml:space="preserve">新北市中和區自強路  </t>
  </si>
  <si>
    <t xml:space="preserve">永福國小方正二樓美寓  </t>
  </si>
  <si>
    <t xml:space="preserve">新北市三重區永福街  </t>
  </si>
  <si>
    <t xml:space="preserve">民生新東街靜巷四房  </t>
  </si>
  <si>
    <t xml:space="preserve">遠揚新世界１樓＋２樓  </t>
  </si>
  <si>
    <t>1-2/7樓</t>
  </si>
  <si>
    <t xml:space="preserve">6房3廳2衛 </t>
  </si>
  <si>
    <t xml:space="preserve">新北市板橋區南雅南路二段  </t>
  </si>
  <si>
    <t xml:space="preserve">惠宇一森青四房美宅  </t>
  </si>
  <si>
    <t>13/21樓</t>
  </si>
  <si>
    <t xml:space="preserve">台中市南屯區益昌六街  </t>
  </si>
  <si>
    <t xml:space="preserve">四期綠意景觀三房次高樓  </t>
  </si>
  <si>
    <t xml:space="preserve">大庄８米透店  </t>
  </si>
  <si>
    <t xml:space="preserve">新竹市新竹市瑞光街  </t>
  </si>
  <si>
    <t xml:space="preserve">香榭景觀小豪邸  </t>
  </si>
  <si>
    <t xml:space="preserve">唭哩岸站電梯套房美屋  </t>
  </si>
  <si>
    <t xml:space="preserve">幸福心都心３房車位  </t>
  </si>
  <si>
    <t xml:space="preserve">桃園市八德區新興路  </t>
  </si>
  <si>
    <t xml:space="preserve">楠梓藍昌路騎樓透天  </t>
  </si>
  <si>
    <t xml:space="preserve">6房2廳3.5衛(含加蓋 2房1.5衛) </t>
  </si>
  <si>
    <t xml:space="preserve">高雄市楠梓區藍昌路  </t>
  </si>
  <si>
    <t xml:space="preserve">東方公園三房車位  </t>
  </si>
  <si>
    <t xml:space="preserve">公園路二樓美式邊間大空間  </t>
  </si>
  <si>
    <t xml:space="preserve">新北市新莊區公園路  </t>
  </si>
  <si>
    <t xml:space="preserve">鄧公路可租補大空間  </t>
  </si>
  <si>
    <t xml:space="preserve">新北市淡水區鄧公路  </t>
  </si>
  <si>
    <t xml:space="preserve">精選★新潤青樺３房車位  </t>
  </si>
  <si>
    <t xml:space="preserve">中平路溫馨三房大車位！！  </t>
  </si>
  <si>
    <t xml:space="preserve">華勛景觀三房  </t>
  </si>
  <si>
    <t xml:space="preserve">桃園市中壢區華安路  </t>
  </si>
  <si>
    <t xml:space="preserve">★七期市政交響曲美宅  </t>
  </si>
  <si>
    <t>21/28樓</t>
  </si>
  <si>
    <t xml:space="preserve">一品花園電梯兩房  </t>
  </si>
  <si>
    <t xml:space="preserve">新北市中和區安樂路  </t>
  </si>
  <si>
    <t xml:space="preserve">景安南勢角漢寶二房  </t>
  </si>
  <si>
    <t xml:space="preserve">永吉黃金三樓極美三房  </t>
  </si>
  <si>
    <t xml:space="preserve">海安商圈文創店面  </t>
  </si>
  <si>
    <t xml:space="preserve">台南市中西區正德街  </t>
  </si>
  <si>
    <t xml:space="preserve">四號公園邊間公寓三樓  </t>
  </si>
  <si>
    <t xml:space="preserve">新北市永和區安樂路  </t>
  </si>
  <si>
    <t xml:space="preserve">近台積電大兩房平車  </t>
  </si>
  <si>
    <t xml:space="preserve">捷運之星質感裝潢兩房平車  </t>
  </si>
  <si>
    <t xml:space="preserve">山海大地２房車位  </t>
  </si>
  <si>
    <t xml:space="preserve">山海大地 / 新北市淡水區淡金路  </t>
  </si>
  <si>
    <t xml:space="preserve">航空城Ａ１８四房長租可  </t>
  </si>
  <si>
    <t xml:space="preserve">桃園市大園區水源南路  </t>
  </si>
  <si>
    <t xml:space="preserve">漾漾三房車位。美景  </t>
  </si>
  <si>
    <t xml:space="preserve">文創工作室網拍倉庫  </t>
  </si>
  <si>
    <t xml:space="preserve">4房3廳2衛3室 </t>
  </si>
  <si>
    <t xml:space="preserve">台中市西區福人街  </t>
  </si>
  <si>
    <t xml:space="preserve">捷市達稀有高樓層套房Ｂ  </t>
  </si>
  <si>
    <t xml:space="preserve">捷市達稀有高樓層套房Ａ  </t>
  </si>
  <si>
    <t xml:space="preserve">鄰輕軌Ｃ２５四房  </t>
  </si>
  <si>
    <t xml:space="preserve">高雄市左營區大順一路  </t>
  </si>
  <si>
    <t xml:space="preserve">金城舞三期２房附車位  </t>
  </si>
  <si>
    <t xml:space="preserve">勝美術稀有高樓２房平車  </t>
  </si>
  <si>
    <t xml:space="preserve">台中市西區大忠南街  </t>
  </si>
  <si>
    <t xml:space="preserve">北大愛樂４房溫馨美屋  </t>
  </si>
  <si>
    <t>10/28樓</t>
  </si>
  <si>
    <t xml:space="preserve">新竹市新竹市北大路  </t>
  </si>
  <si>
    <t xml:space="preserve">近巨城北大愛樂景觀戶  </t>
  </si>
  <si>
    <t xml:space="preserve">北大愛樂 / 新竹市新竹市北大路  </t>
  </si>
  <si>
    <t xml:space="preserve">潮尚居高樓三房平車可租補  </t>
  </si>
  <si>
    <t>11/19樓</t>
  </si>
  <si>
    <t xml:space="preserve">潮尚居高樓層三房平車好屋  </t>
  </si>
  <si>
    <t xml:space="preserve">遠雄首府三房車位  </t>
  </si>
  <si>
    <t xml:space="preserve">遠雄首府 / 台北市中山區林森北路  </t>
  </si>
  <si>
    <t>68,300元/月</t>
  </si>
  <si>
    <t xml:space="preserve">賽茵斯面園道三房平車  </t>
  </si>
  <si>
    <t xml:space="preserve">台中市西區館前路  </t>
  </si>
  <si>
    <t xml:space="preserve">利融藏御全新採光三房  </t>
  </si>
  <si>
    <t xml:space="preserve">東方巨人景觀４房雙平車  </t>
  </si>
  <si>
    <t xml:space="preserve">南勢角捷運一品大三房  </t>
  </si>
  <si>
    <t xml:space="preserve">新北市中和區四維街  </t>
  </si>
  <si>
    <t xml:space="preserve">景觀四房雙主臥潤泰峰左岸  </t>
  </si>
  <si>
    <t xml:space="preserve">新北市三重區疏洪西路  </t>
  </si>
  <si>
    <t xml:space="preserve">潤泰峰左岸景觀三房豪宅  </t>
  </si>
  <si>
    <t>46,800元/月</t>
  </si>
  <si>
    <t xml:space="preserve">微風旁邊間招牌工作室  </t>
  </si>
  <si>
    <t xml:space="preserve">城峰匯  </t>
  </si>
  <si>
    <t xml:space="preserve">麟光站大空間３房美寓  </t>
  </si>
  <si>
    <t xml:space="preserve">台北市信義區和平東路三段  </t>
  </si>
  <si>
    <t xml:space="preserve">齊賞２房＋車位  </t>
  </si>
  <si>
    <t xml:space="preserve">新北市三重區成功二街  </t>
  </si>
  <si>
    <t xml:space="preserve">萬囍兩房品味美屋  </t>
  </si>
  <si>
    <t xml:space="preserve">台北市萬華區德昌街  </t>
  </si>
  <si>
    <t xml:space="preserve">高醫商圈舒適３房（含管）  </t>
  </si>
  <si>
    <t xml:space="preserve">高雄市三民區慶雲街  </t>
  </si>
  <si>
    <t xml:space="preserve">近成大＿帝心明亮三房平車  </t>
  </si>
  <si>
    <t xml:space="preserve">台南市東區崇善路  </t>
  </si>
  <si>
    <t xml:space="preserve">永建國小公寓３樓  </t>
  </si>
  <si>
    <t xml:space="preserve">台北市文山區辛亥路七段  </t>
  </si>
  <si>
    <t xml:space="preserve">明日耀美二房車  </t>
  </si>
  <si>
    <t xml:space="preserve">古亭捷運管理大樓  </t>
  </si>
  <si>
    <t xml:space="preserve">台北市中正區羅斯福路二段  </t>
  </si>
  <si>
    <t xml:space="preserve">太陽城溫馨電梯分租套房  </t>
  </si>
  <si>
    <t xml:space="preserve">汐止採光佳整層  </t>
  </si>
  <si>
    <t xml:space="preserve">＊捷運之星＊含車含管美宅  </t>
  </si>
  <si>
    <t xml:space="preserve">近園區璞石兩房附傢俱電  </t>
  </si>
  <si>
    <t xml:space="preserve">真喜歡富春居附車位傢俱電  </t>
  </si>
  <si>
    <t xml:space="preserve">新竹市新竹市慈濟路  </t>
  </si>
  <si>
    <t xml:space="preserve">泉源清幽漂亮兩房  </t>
  </si>
  <si>
    <t xml:space="preserve">亞灣悅然質感三房車位  </t>
  </si>
  <si>
    <t>3/29樓</t>
  </si>
  <si>
    <t xml:space="preserve">高雄市前鎮區中山二路  </t>
  </si>
  <si>
    <t xml:space="preserve">新東方溫馨四房  </t>
  </si>
  <si>
    <t xml:space="preserve">新竹縣竹北市復興七路  </t>
  </si>
  <si>
    <t xml:space="preserve">新市國小旁‧新浦東好租房  </t>
  </si>
  <si>
    <t xml:space="preserve">正東興路二段！挑高店面  </t>
  </si>
  <si>
    <t xml:space="preserve">台中市南屯區東興路二段  </t>
  </si>
  <si>
    <t>北部 合計</t>
  </si>
  <si>
    <t>中部</t>
  </si>
  <si>
    <t>台中市</t>
  </si>
  <si>
    <t>中部 合計</t>
  </si>
  <si>
    <t>南部</t>
  </si>
  <si>
    <t>台南市</t>
  </si>
  <si>
    <t>南部 合計</t>
  </si>
  <si>
    <t>12</t>
  </si>
  <si>
    <t>15</t>
  </si>
  <si>
    <t>1-2</t>
  </si>
  <si>
    <t>5</t>
  </si>
  <si>
    <t>8</t>
  </si>
  <si>
    <t>14</t>
  </si>
  <si>
    <t>24</t>
  </si>
  <si>
    <t>13</t>
  </si>
  <si>
    <t>29</t>
  </si>
  <si>
    <t>4</t>
  </si>
  <si>
    <t>2</t>
  </si>
  <si>
    <t>16</t>
  </si>
  <si>
    <t>17</t>
  </si>
  <si>
    <t xml:space="preserve"> 新北市淡水區新民街一段  </t>
  </si>
  <si>
    <t>4-5</t>
  </si>
  <si>
    <t>7</t>
  </si>
  <si>
    <t>11</t>
  </si>
  <si>
    <t>21</t>
  </si>
  <si>
    <t>22</t>
  </si>
  <si>
    <t>1</t>
  </si>
  <si>
    <t>3</t>
  </si>
  <si>
    <t>19</t>
  </si>
  <si>
    <t/>
  </si>
  <si>
    <t xml:space="preserve"> 台中市西區三民路一段  </t>
  </si>
  <si>
    <t>31</t>
  </si>
  <si>
    <t>10</t>
  </si>
  <si>
    <t>6</t>
  </si>
  <si>
    <t>9</t>
  </si>
  <si>
    <t xml:space="preserve"> 台中市西屯區西屯路二段  </t>
  </si>
  <si>
    <t>B1-4</t>
  </si>
  <si>
    <t>20</t>
  </si>
  <si>
    <t>23</t>
  </si>
  <si>
    <t>18</t>
  </si>
  <si>
    <t>27</t>
  </si>
  <si>
    <t>28</t>
  </si>
  <si>
    <t xml:space="preserve"> 台中市北屯區南興路  </t>
  </si>
  <si>
    <t xml:space="preserve"> 台中市南屯區大進街  </t>
  </si>
  <si>
    <t>36</t>
  </si>
  <si>
    <t xml:space="preserve"> 台南市安平區慶平路  </t>
  </si>
  <si>
    <t xml:space="preserve"> 台北市松山區八德路二段  </t>
  </si>
  <si>
    <t>26</t>
  </si>
  <si>
    <t xml:space="preserve"> 新北市淡水區淡金路  </t>
  </si>
  <si>
    <t>B1-1</t>
  </si>
  <si>
    <t xml:space="preserve"> 新竹市新竹市北大路  </t>
  </si>
  <si>
    <t xml:space="preserve"> 台北市中山區林森北路  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</si>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</sst>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76" formatCode="#,##0_ "/>
  </numFmts>
  <fonts count="8" x14ac:knownFonts="1">
    <font>
      <sz val="11"/>
      <color theme="1"/>
      <name val="新細明體"/>
      <family val="2"/>
      <charset val="136"/>
    </font>
    <font>
      <sz val="9"/>
      <name val="新細明體"/>
      <family val="2"/>
      <charset val="136"/>
    </font>
    <font>
      <sz val="11"/>
      <color theme="1"/>
      <name val="微軟正黑體"/>
      <family val="2"/>
      <charset val="134"/>
    </font>
    <font>
      <sz val="11"/>
      <color theme="0"/>
      <name val="新細明體"/>
      <family val="2"/>
      <charset val="136"/>
    </font>
    <font>
      <sz val="11"/>
      <color rgb="FF000000"/>
      <name val="新細明體"/>
      <family val="1"/>
      <charset val="136"/>
    </font>
    <font>
      <sz val="9"/>
      <color rgb="FF000000"/>
      <name val="Microsoft JhengHei UI"/>
      <family val="2"/>
      <charset val="136"/>
    </font>
    <font>
      <u/>
      <sz val="11"/>
      <color theme="10"/>
      <name val="新細明體"/>
      <family val="2"/>
      <charset val="136"/>
    </font>
    <font>
      <b/>
      <sz val="11"/>
      <color theme="1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6" fontId="0" fillId="0" borderId="0" xfId="0" applyNumberFormat="1">
      <alignment vertical="center"/>
    </xf>
    <xf numFmtId="8" fontId="0" fillId="0" borderId="0" xfId="0" applyNumberFormat="1">
      <alignment vertical="center"/>
    </xf>
    <xf numFmtId="0" fontId="3" fillId="0" borderId="0" xfId="0" applyFont="1">
      <alignment vertical="center"/>
    </xf>
    <xf numFmtId="0" fontId="6" fillId="0" borderId="0" xfId="1">
      <alignment vertical="center"/>
    </xf>
    <xf numFmtId="0" fontId="7" fillId="0" borderId="0" xfId="0" applyFont="1">
      <alignment vertical="center"/>
    </xf>
    <xf numFmtId="0" fontId="0" fillId="2" borderId="2" xfId="0" applyFill="1" applyBorder="1">
      <alignment vertical="center"/>
    </xf>
    <xf numFmtId="0" fontId="0" fillId="0" borderId="2" xfId="0" applyBorder="1">
      <alignment vertical="center"/>
    </xf>
    <xf numFmtId="0" fontId="6" fillId="2" borderId="1" xfId="1" applyFill="1" applyBorder="1">
      <alignment vertical="center"/>
    </xf>
    <xf numFmtId="0" fontId="6" fillId="0" borderId="1" xfId="1" applyBorder="1">
      <alignment vertical="center"/>
    </xf>
    <xf numFmtId="0" fontId="0" fillId="0" borderId="0" xfId="0" applyNumberFormat="1">
      <alignment vertical="center"/>
    </xf>
  </cellXfs>
  <cellStyles count="2">
    <cellStyle name="一般" xfId="0" builtinId="0"/>
    <cellStyle name="超連結" xfId="1" builtinId="8"/>
  </cellStyles>
  <dxfs count="11">
    <dxf>
      <numFmt numFmtId="10" formatCode="&quot;$&quot;#,##0_);[Red]\(&quot;$&quot;#,##0\)"/>
    </dxf>
    <dxf>
      <numFmt numFmtId="12" formatCode="&quot;$&quot;#,##0.00_);[Red]\(&quot;$&quot;#,##0.00\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font>
        <color rgb="FF00B050"/>
      </font>
    </dxf>
    <dxf>
      <font>
        <color rgb="FFFF5050"/>
      </font>
    </dxf>
    <dxf>
      <font>
        <color rgb="FF00B050"/>
      </font>
    </dxf>
    <dxf>
      <font>
        <color rgb="FFFF5050"/>
      </font>
    </dxf>
    <dxf>
      <font>
        <color rgb="FF00B050"/>
      </font>
    </dxf>
    <dxf>
      <font>
        <color rgb="FFFF5050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[rental_taiwan.xlsm]Pivot table!樞紐分析表1</c:name>
    <c:fmtId val="3"/>
  </c:pivotSource>
  <c:chart>
    <c:autoTitleDeleted val="1"/>
    <c:pivotFmts>
      <c:pivotFmt>
        <c:idx val="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bg2">
                <a:lumMod val="1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table'!$M$3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2">
                  <a:lumMod val="1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'Pivot table'!$K$4:$L$16</c:f>
              <c:multiLvlStrCache>
                <c:ptCount val="9"/>
                <c:lvl>
                  <c:pt idx="0">
                    <c:v>大坪數</c:v>
                  </c:pt>
                  <c:pt idx="1">
                    <c:v>中坪數</c:v>
                  </c:pt>
                  <c:pt idx="2">
                    <c:v>小坪數</c:v>
                  </c:pt>
                  <c:pt idx="3">
                    <c:v>大坪數</c:v>
                  </c:pt>
                  <c:pt idx="4">
                    <c:v>中坪數</c:v>
                  </c:pt>
                  <c:pt idx="5">
                    <c:v>小坪數</c:v>
                  </c:pt>
                  <c:pt idx="6">
                    <c:v>大坪數</c:v>
                  </c:pt>
                  <c:pt idx="7">
                    <c:v>中坪數</c:v>
                  </c:pt>
                  <c:pt idx="8">
                    <c:v>小坪數</c:v>
                  </c:pt>
                </c:lvl>
                <c:lvl>
                  <c:pt idx="0">
                    <c:v>北部</c:v>
                  </c:pt>
                  <c:pt idx="3">
                    <c:v>中部</c:v>
                  </c:pt>
                  <c:pt idx="6">
                    <c:v>南部</c:v>
                  </c:pt>
                </c:lvl>
              </c:multiLvlStrCache>
            </c:multiLvlStrRef>
          </c:cat>
          <c:val>
            <c:numRef>
              <c:f>'Pivot table'!$M$4:$M$16</c:f>
              <c:numCache>
                <c:formatCode>"$"#,##0_);[Red]\("$"#,##0\)</c:formatCode>
                <c:ptCount val="9"/>
                <c:pt idx="0">
                  <c:v>897.54363630512012</c:v>
                </c:pt>
                <c:pt idx="1">
                  <c:v>1089.9841547827541</c:v>
                </c:pt>
                <c:pt idx="2">
                  <c:v>1957.2192513368984</c:v>
                </c:pt>
                <c:pt idx="3">
                  <c:v>724.06915692470363</c:v>
                </c:pt>
                <c:pt idx="4">
                  <c:v>868.67167919799499</c:v>
                </c:pt>
                <c:pt idx="5">
                  <c:v>1714.1718158261908</c:v>
                </c:pt>
                <c:pt idx="6">
                  <c:v>639.50461023303512</c:v>
                </c:pt>
                <c:pt idx="7">
                  <c:v>792.22357229647628</c:v>
                </c:pt>
                <c:pt idx="8">
                  <c:v>1719.3469954845432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B7-4D72-BD96-6E5BCC2C45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337856"/>
        <c:axId val="41329216"/>
      </c:barChart>
      <c:catAx>
        <c:axId val="41337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1329216"/>
        <c:crosses val="autoZero"/>
        <c:auto val="1"/>
        <c:lblAlgn val="ctr"/>
        <c:lblOffset val="100"/>
        <c:noMultiLvlLbl val="0"/>
      </c:catAx>
      <c:valAx>
        <c:axId val="41329216"/>
        <c:scaling>
          <c:orientation val="minMax"/>
        </c:scaling>
        <c:delete val="1"/>
        <c:axPos val="b"/>
        <c:numFmt formatCode="&quot;$&quot;#,##0_);[Red]\(&quot;$&quot;#,##0\)" sourceLinked="1"/>
        <c:majorTickMark val="none"/>
        <c:minorTickMark val="none"/>
        <c:tickLblPos val="nextTo"/>
        <c:crossAx val="4133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[rental_taiwan.xlsm]Pivot table!樞紐分析表2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noFill/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noFill/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table'!$Q$3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'Pivot table'!$O$4:$P$18</c:f>
              <c:multiLvlStrCache>
                <c:ptCount val="11"/>
                <c:lvl>
                  <c:pt idx="0">
                    <c:v>10</c:v>
                  </c:pt>
                  <c:pt idx="1">
                    <c:v>20</c:v>
                  </c:pt>
                  <c:pt idx="2">
                    <c:v>30</c:v>
                  </c:pt>
                  <c:pt idx="3">
                    <c:v>#VALUE!</c:v>
                  </c:pt>
                  <c:pt idx="4">
                    <c:v>10</c:v>
                  </c:pt>
                  <c:pt idx="5">
                    <c:v>20</c:v>
                  </c:pt>
                  <c:pt idx="6">
                    <c:v>30</c:v>
                  </c:pt>
                  <c:pt idx="7">
                    <c:v>40</c:v>
                  </c:pt>
                  <c:pt idx="8">
                    <c:v>10</c:v>
                  </c:pt>
                  <c:pt idx="9">
                    <c:v>20</c:v>
                  </c:pt>
                  <c:pt idx="10">
                    <c:v>30</c:v>
                  </c:pt>
                </c:lvl>
                <c:lvl>
                  <c:pt idx="0">
                    <c:v>北部</c:v>
                  </c:pt>
                  <c:pt idx="4">
                    <c:v>中部</c:v>
                  </c:pt>
                  <c:pt idx="8">
                    <c:v>南部</c:v>
                  </c:pt>
                </c:lvl>
              </c:multiLvlStrCache>
            </c:multiLvlStrRef>
          </c:cat>
          <c:val>
            <c:numRef>
              <c:f>'Pivot table'!$Q$4:$Q$18</c:f>
              <c:numCache>
                <c:formatCode>"$"#,##0_);[Red]\("$"#,##0\)</c:formatCode>
                <c:ptCount val="11"/>
                <c:pt idx="0">
                  <c:v>990.3760880275903</c:v>
                </c:pt>
                <c:pt idx="1">
                  <c:v>1030.8329179819461</c:v>
                </c:pt>
                <c:pt idx="2">
                  <c:v>887.80046098123137</c:v>
                </c:pt>
                <c:pt idx="3">
                  <c:v>1156.6606341962388</c:v>
                </c:pt>
                <c:pt idx="4">
                  <c:v>803.21556441261907</c:v>
                </c:pt>
                <c:pt idx="5">
                  <c:v>721.35065954353718</c:v>
                </c:pt>
                <c:pt idx="6">
                  <c:v>815.06746250689673</c:v>
                </c:pt>
                <c:pt idx="7">
                  <c:v>946.46855281905141</c:v>
                </c:pt>
                <c:pt idx="8">
                  <c:v>811.3727794602903</c:v>
                </c:pt>
                <c:pt idx="9">
                  <c:v>672.12022335072027</c:v>
                </c:pt>
                <c:pt idx="10">
                  <c:v>629.53685717206827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F-4C09-82E0-B787795B34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5"/>
        <c:overlap val="-2"/>
        <c:axId val="41330656"/>
        <c:axId val="2079662800"/>
      </c:barChart>
      <c:catAx>
        <c:axId val="41330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79662800"/>
        <c:crosses val="autoZero"/>
        <c:auto val="1"/>
        <c:lblAlgn val="ctr"/>
        <c:lblOffset val="100"/>
        <c:noMultiLvlLbl val="0"/>
      </c:catAx>
      <c:valAx>
        <c:axId val="2079662800"/>
        <c:scaling>
          <c:orientation val="minMax"/>
        </c:scaling>
        <c:delete val="1"/>
        <c:axPos val="b"/>
        <c:numFmt formatCode="&quot;$&quot;#,##0_);[Red]\(&quot;$&quot;#,##0\)" sourceLinked="1"/>
        <c:majorTickMark val="none"/>
        <c:minorTickMark val="none"/>
        <c:tickLblPos val="nextTo"/>
        <c:crossAx val="4133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[rental_taiwan.xlsm]Pivot table!樞紐分析表4</c:name>
    <c:fmtId val="3"/>
  </c:pivotSource>
  <c:chart>
    <c:autoTitleDeleted val="0"/>
    <c:pivotFmts>
      <c:pivotFmt>
        <c:idx val="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bg2">
                <a:lumMod val="1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bg2">
                <a:lumMod val="1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bg2">
                <a:lumMod val="1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table'!$H$3</c:f>
              <c:strCache>
                <c:ptCount val="1"/>
                <c:pt idx="0">
                  <c:v>平均租金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2">
                  <a:lumMod val="1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'Pivot table'!$F$4:$G$15</c:f>
              <c:multiLvlStrCache>
                <c:ptCount val="8"/>
                <c:lvl>
                  <c:pt idx="0">
                    <c:v>台北市</c:v>
                  </c:pt>
                  <c:pt idx="1">
                    <c:v>桃園市</c:v>
                  </c:pt>
                  <c:pt idx="2">
                    <c:v>新北市</c:v>
                  </c:pt>
                  <c:pt idx="3">
                    <c:v>新竹市</c:v>
                  </c:pt>
                  <c:pt idx="4">
                    <c:v>新竹縣</c:v>
                  </c:pt>
                  <c:pt idx="5">
                    <c:v>台中市</c:v>
                  </c:pt>
                  <c:pt idx="6">
                    <c:v>台南市</c:v>
                  </c:pt>
                  <c:pt idx="7">
                    <c:v>高雄市</c:v>
                  </c:pt>
                </c:lvl>
                <c:lvl>
                  <c:pt idx="0">
                    <c:v>北部</c:v>
                  </c:pt>
                  <c:pt idx="5">
                    <c:v>中部</c:v>
                  </c:pt>
                  <c:pt idx="6">
                    <c:v>南部</c:v>
                  </c:pt>
                </c:lvl>
              </c:multiLvlStrCache>
            </c:multiLvlStrRef>
          </c:cat>
          <c:val>
            <c:numRef>
              <c:f>'Pivot table'!$H$4:$H$15</c:f>
              <c:numCache>
                <c:formatCode>"$"#,##0_);[Red]\("$"#,##0\)</c:formatCode>
                <c:ptCount val="8"/>
                <c:pt idx="0">
                  <c:v>45482.352941176468</c:v>
                </c:pt>
                <c:pt idx="1">
                  <c:v>24281.25</c:v>
                </c:pt>
                <c:pt idx="2">
                  <c:v>29852.083333333332</c:v>
                </c:pt>
                <c:pt idx="3">
                  <c:v>30875</c:v>
                </c:pt>
                <c:pt idx="4">
                  <c:v>29333.333333333332</c:v>
                </c:pt>
                <c:pt idx="5">
                  <c:v>29292</c:v>
                </c:pt>
                <c:pt idx="6">
                  <c:v>33375</c:v>
                </c:pt>
                <c:pt idx="7">
                  <c:v>23473.076923076922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1D-4041-87DC-23E5930045F9}"/>
            </c:ext>
          </c:extLst>
        </c:ser>
        <c:ser>
          <c:idx val="1"/>
          <c:order val="1"/>
          <c:tx>
            <c:strRef>
              <c:f>'Pivot table'!$I$3</c:f>
              <c:strCache>
                <c:ptCount val="1"/>
                <c:pt idx="0">
                  <c:v>一坪租金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'Pivot table'!$F$4:$G$15</c:f>
              <c:multiLvlStrCache>
                <c:ptCount val="8"/>
                <c:lvl>
                  <c:pt idx="0">
                    <c:v>台北市</c:v>
                  </c:pt>
                  <c:pt idx="1">
                    <c:v>桃園市</c:v>
                  </c:pt>
                  <c:pt idx="2">
                    <c:v>新北市</c:v>
                  </c:pt>
                  <c:pt idx="3">
                    <c:v>新竹市</c:v>
                  </c:pt>
                  <c:pt idx="4">
                    <c:v>新竹縣</c:v>
                  </c:pt>
                  <c:pt idx="5">
                    <c:v>台中市</c:v>
                  </c:pt>
                  <c:pt idx="6">
                    <c:v>台南市</c:v>
                  </c:pt>
                  <c:pt idx="7">
                    <c:v>高雄市</c:v>
                  </c:pt>
                </c:lvl>
                <c:lvl>
                  <c:pt idx="0">
                    <c:v>北部</c:v>
                  </c:pt>
                  <c:pt idx="5">
                    <c:v>中部</c:v>
                  </c:pt>
                  <c:pt idx="6">
                    <c:v>南部</c:v>
                  </c:pt>
                </c:lvl>
              </c:multiLvlStrCache>
            </c:multiLvlStrRef>
          </c:cat>
          <c:val>
            <c:numRef>
              <c:f>'Pivot table'!$I$4:$I$15</c:f>
              <c:numCache>
                <c:formatCode>"$"#,##0_);[Red]\("$"#,##0\)</c:formatCode>
                <c:ptCount val="8"/>
                <c:pt idx="0">
                  <c:v>1408.0839168480188</c:v>
                </c:pt>
                <c:pt idx="1">
                  <c:v>636.1239827747122</c:v>
                </c:pt>
                <c:pt idx="2">
                  <c:v>953.64546936873967</c:v>
                </c:pt>
                <c:pt idx="3">
                  <c:v>720.41066324447286</c:v>
                </c:pt>
                <c:pt idx="4">
                  <c:v>655.7132744681644</c:v>
                </c:pt>
                <c:pt idx="5">
                  <c:v>765.08783935558358</c:v>
                </c:pt>
                <c:pt idx="6">
                  <c:v>657.47352868751534</c:v>
                </c:pt>
                <c:pt idx="7">
                  <c:v>698.52352065926505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1D-4041-87DC-23E593004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7008655"/>
        <c:axId val="1137009135"/>
      </c:barChart>
      <c:catAx>
        <c:axId val="113700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37009135"/>
        <c:crosses val="autoZero"/>
        <c:auto val="1"/>
        <c:lblAlgn val="ctr"/>
        <c:lblOffset val="100"/>
        <c:noMultiLvlLbl val="0"/>
      </c:catAx>
      <c:valAx>
        <c:axId val="1137009135"/>
        <c:scaling>
          <c:orientation val="minMax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11370086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AP$14" lockText="1" noThreeD="1"/>
</file>

<file path=xl/ctrlProps/ctrlProp3.xml><?xml version="1.0" encoding="utf-8"?>
<formControlPr xmlns="http://schemas.microsoft.com/office/spreadsheetml/2009/9/main" objectType="CheckBox" fmlaLink="$AP$15" lockText="1" noThreeD="1"/>
</file>

<file path=xl/ctrlProps/ctrlProp4.xml><?xml version="1.0" encoding="utf-8"?>
<formControlPr xmlns="http://schemas.microsoft.com/office/spreadsheetml/2009/9/main" objectType="Drop" dropStyle="combo" dx="31" fmlaLink="$AP$13" fmlaRange="$AN$12:$AN$17" noThreeD="1" sel="1" val="0"/>
</file>

<file path=xl/ctrlProps/ctrlProp5.xml><?xml version="1.0" encoding="utf-8"?>
<formControlPr xmlns="http://schemas.microsoft.com/office/spreadsheetml/2009/9/main" objectType="Drop" dropStyle="combo" dx="31" fmlaLink="$W$17" fmlaRange="區隔!$B$2:$B$20" noThreeD="1" sel="1" val="0"/>
</file>

<file path=xl/ctrlProps/ctrlProp6.xml><?xml version="1.0" encoding="utf-8"?>
<formControlPr xmlns="http://schemas.microsoft.com/office/spreadsheetml/2009/9/main" objectType="Drop" dropStyle="combo" dx="31" fmlaLink="$W$17" fmlaRange="區隔!$B$3:$B$20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0</xdr:row>
      <xdr:rowOff>100693</xdr:rowOff>
    </xdr:from>
    <xdr:to>
      <xdr:col>33</xdr:col>
      <xdr:colOff>19050</xdr:colOff>
      <xdr:row>9</xdr:row>
      <xdr:rowOff>139700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C3C62890-0A89-98F7-3404-EB08F1E4D263}"/>
            </a:ext>
          </a:extLst>
        </xdr:cNvPr>
        <xdr:cNvSpPr/>
      </xdr:nvSpPr>
      <xdr:spPr>
        <a:xfrm>
          <a:off x="476250" y="100693"/>
          <a:ext cx="22637750" cy="1696357"/>
        </a:xfrm>
        <a:prstGeom prst="roundRect">
          <a:avLst>
            <a:gd name="adj" fmla="val 9375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oneCell">
    <xdr:from>
      <xdr:col>1</xdr:col>
      <xdr:colOff>241300</xdr:colOff>
      <xdr:row>1</xdr:row>
      <xdr:rowOff>82550</xdr:rowOff>
    </xdr:from>
    <xdr:to>
      <xdr:col>3</xdr:col>
      <xdr:colOff>517525</xdr:colOff>
      <xdr:row>9</xdr:row>
      <xdr:rowOff>3175</xdr:rowOff>
    </xdr:to>
    <xdr:pic macro="[0]!update">
      <xdr:nvPicPr>
        <xdr:cNvPr id="5" name="圖片 4">
          <a:extLst>
            <a:ext uri="{FF2B5EF4-FFF2-40B4-BE49-F238E27FC236}">
              <a16:creationId xmlns:a16="http://schemas.microsoft.com/office/drawing/2014/main" id="{37C4EB5F-7991-3317-37E8-AF868749B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66700"/>
          <a:ext cx="1393825" cy="1393825"/>
        </a:xfrm>
        <a:prstGeom prst="rect">
          <a:avLst/>
        </a:prstGeom>
      </xdr:spPr>
    </xdr:pic>
    <xdr:clientData/>
  </xdr:twoCellAnchor>
  <xdr:twoCellAnchor>
    <xdr:from>
      <xdr:col>4</xdr:col>
      <xdr:colOff>323850</xdr:colOff>
      <xdr:row>2</xdr:row>
      <xdr:rowOff>31750</xdr:rowOff>
    </xdr:from>
    <xdr:to>
      <xdr:col>11</xdr:col>
      <xdr:colOff>292100</xdr:colOff>
      <xdr:row>6</xdr:row>
      <xdr:rowOff>12700</xdr:rowOff>
    </xdr:to>
    <xdr:sp macro="" textlink="'Pivot table'!C23">
      <xdr:nvSpPr>
        <xdr:cNvPr id="11" name="文字方塊 10">
          <a:extLst>
            <a:ext uri="{FF2B5EF4-FFF2-40B4-BE49-F238E27FC236}">
              <a16:creationId xmlns:a16="http://schemas.microsoft.com/office/drawing/2014/main" id="{D1D34894-6092-46D5-58F9-5A7175DCB34B}"/>
            </a:ext>
          </a:extLst>
        </xdr:cNvPr>
        <xdr:cNvSpPr txBox="1"/>
      </xdr:nvSpPr>
      <xdr:spPr>
        <a:xfrm>
          <a:off x="2559050" y="400050"/>
          <a:ext cx="3879850" cy="717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40AA8FE-1291-45EC-BDBC-E7D0C088546D}" type="TxLink">
            <a:rPr lang="zh-TW" altLang="en-US" sz="2800" b="0" i="0" u="none" strike="noStrike">
              <a:solidFill>
                <a:schemeClr val="accent6">
                  <a:lumMod val="75000"/>
                </a:schemeClr>
              </a:solidFill>
              <a:latin typeface="新細明體"/>
              <a:ea typeface="新細明體"/>
              <a:cs typeface="DejaVu Sans" panose="020B0603030804020204" pitchFamily="34" charset="0"/>
            </a:rPr>
            <a:pPr/>
            <a:t>臺灣北部租屋市場</a:t>
          </a:fld>
          <a:endParaRPr lang="zh-TW" altLang="en-US" sz="2800">
            <a:solidFill>
              <a:schemeClr val="accent6">
                <a:lumMod val="75000"/>
              </a:schemeClr>
            </a:solidFill>
            <a:latin typeface="+mn-ea"/>
            <a:ea typeface="+mn-ea"/>
            <a:cs typeface="DejaVu Sans" panose="020B0603030804020204" pitchFamily="34" charset="0"/>
          </a:endParaRPr>
        </a:p>
      </xdr:txBody>
    </xdr:sp>
    <xdr:clientData/>
  </xdr:twoCellAnchor>
  <xdr:twoCellAnchor>
    <xdr:from>
      <xdr:col>4</xdr:col>
      <xdr:colOff>279400</xdr:colOff>
      <xdr:row>7</xdr:row>
      <xdr:rowOff>114300</xdr:rowOff>
    </xdr:from>
    <xdr:to>
      <xdr:col>7</xdr:col>
      <xdr:colOff>120650</xdr:colOff>
      <xdr:row>8</xdr:row>
      <xdr:rowOff>170543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163AEEC0-0F3B-421B-9DF0-C2ED8F78F9F5}"/>
            </a:ext>
          </a:extLst>
        </xdr:cNvPr>
        <xdr:cNvSpPr txBox="1"/>
      </xdr:nvSpPr>
      <xdr:spPr>
        <a:xfrm>
          <a:off x="2514600" y="1403350"/>
          <a:ext cx="1517650" cy="24039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>
              <a:solidFill>
                <a:schemeClr val="accent6">
                  <a:lumMod val="60000"/>
                  <a:lumOff val="40000"/>
                </a:schemeClr>
              </a:solidFill>
            </a:rPr>
            <a:t> </a:t>
          </a:r>
          <a:r>
            <a:rPr lang="en-US" altLang="zh-CN" sz="1200">
              <a:solidFill>
                <a:schemeClr val="accent6">
                  <a:lumMod val="60000"/>
                  <a:lumOff val="40000"/>
                </a:schemeClr>
              </a:solidFill>
            </a:rPr>
            <a:t>*Source</a:t>
          </a:r>
          <a:r>
            <a:rPr lang="en-US" altLang="zh-CN" sz="1200" baseline="0">
              <a:solidFill>
                <a:schemeClr val="accent6">
                  <a:lumMod val="60000"/>
                  <a:lumOff val="40000"/>
                </a:schemeClr>
              </a:solidFill>
            </a:rPr>
            <a:t> : </a:t>
          </a:r>
          <a:r>
            <a:rPr lang="zh-CN" altLang="en-US" sz="1200" baseline="0">
              <a:solidFill>
                <a:schemeClr val="accent6">
                  <a:lumMod val="60000"/>
                  <a:lumOff val="40000"/>
                </a:schemeClr>
              </a:solidFill>
            </a:rPr>
            <a:t>信義房屋</a:t>
          </a:r>
          <a:endParaRPr lang="zh-TW" altLang="en-US" sz="1200">
            <a:solidFill>
              <a:schemeClr val="accent6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450851</xdr:colOff>
      <xdr:row>10</xdr:row>
      <xdr:rowOff>176893</xdr:rowOff>
    </xdr:from>
    <xdr:to>
      <xdr:col>6</xdr:col>
      <xdr:colOff>482601</xdr:colOff>
      <xdr:row>18</xdr:row>
      <xdr:rowOff>177800</xdr:rowOff>
    </xdr:to>
    <xdr:grpSp>
      <xdr:nvGrpSpPr>
        <xdr:cNvPr id="8" name="群組 7">
          <a:extLst>
            <a:ext uri="{FF2B5EF4-FFF2-40B4-BE49-F238E27FC236}">
              <a16:creationId xmlns:a16="http://schemas.microsoft.com/office/drawing/2014/main" id="{BD5C743A-0CB1-4516-FF0B-B720D4B9A4F0}"/>
            </a:ext>
          </a:extLst>
        </xdr:cNvPr>
        <xdr:cNvGrpSpPr/>
      </xdr:nvGrpSpPr>
      <xdr:grpSpPr>
        <a:xfrm>
          <a:off x="450851" y="2048472"/>
          <a:ext cx="3708066" cy="1498170"/>
          <a:chOff x="3098801" y="2056493"/>
          <a:chExt cx="3384550" cy="1474107"/>
        </a:xfrm>
      </xdr:grpSpPr>
      <xdr:sp macro="" textlink="">
        <xdr:nvSpPr>
          <xdr:cNvPr id="7" name="矩形: 圓角 6">
            <a:extLst>
              <a:ext uri="{FF2B5EF4-FFF2-40B4-BE49-F238E27FC236}">
                <a16:creationId xmlns:a16="http://schemas.microsoft.com/office/drawing/2014/main" id="{D4196ABA-1B11-4B3F-95F7-1F793492B4F4}"/>
              </a:ext>
            </a:extLst>
          </xdr:cNvPr>
          <xdr:cNvSpPr/>
        </xdr:nvSpPr>
        <xdr:spPr>
          <a:xfrm>
            <a:off x="3098801" y="2056493"/>
            <a:ext cx="3384550" cy="1474107"/>
          </a:xfrm>
          <a:prstGeom prst="roundRect">
            <a:avLst>
              <a:gd name="adj" fmla="val 9375"/>
            </a:avLst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4" name="文字方塊 13">
            <a:extLst>
              <a:ext uri="{FF2B5EF4-FFF2-40B4-BE49-F238E27FC236}">
                <a16:creationId xmlns:a16="http://schemas.microsoft.com/office/drawing/2014/main" id="{7BB2F2AD-9D6F-7C7D-7531-D353ADBCBC53}"/>
              </a:ext>
            </a:extLst>
          </xdr:cNvPr>
          <xdr:cNvSpPr txBox="1"/>
        </xdr:nvSpPr>
        <xdr:spPr>
          <a:xfrm>
            <a:off x="3333750" y="2260600"/>
            <a:ext cx="2006600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2000">
                <a:solidFill>
                  <a:schemeClr val="accent6">
                    <a:lumMod val="75000"/>
                  </a:schemeClr>
                </a:solidFill>
              </a:rPr>
              <a:t>建物數量：</a:t>
            </a:r>
            <a:endParaRPr lang="zh-TW" altLang="en-US" sz="20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'Pivot table'!C24">
        <xdr:nvSpPr>
          <xdr:cNvPr id="16" name="文字方塊 15">
            <a:extLst>
              <a:ext uri="{FF2B5EF4-FFF2-40B4-BE49-F238E27FC236}">
                <a16:creationId xmlns:a16="http://schemas.microsoft.com/office/drawing/2014/main" id="{627DD190-2D3F-492D-A8C2-5DEE379D1A04}"/>
              </a:ext>
            </a:extLst>
          </xdr:cNvPr>
          <xdr:cNvSpPr txBox="1"/>
        </xdr:nvSpPr>
        <xdr:spPr>
          <a:xfrm>
            <a:off x="3378200" y="2768600"/>
            <a:ext cx="2921000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264E8657-130C-4D14-90F2-87AB33E127F5}" type="TxLink">
              <a:rPr lang="en-US" altLang="en-US" sz="3200" b="0" i="0" u="none" strike="noStrike">
                <a:solidFill>
                  <a:schemeClr val="accent6"/>
                </a:solidFill>
                <a:latin typeface="新細明體"/>
                <a:ea typeface="新細明體"/>
              </a:rPr>
              <a:pPr algn="ctr"/>
              <a:t>200 </a:t>
            </a:fld>
            <a:endParaRPr lang="zh-TW" altLang="en-US" sz="3200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7</xdr:col>
      <xdr:colOff>539751</xdr:colOff>
      <xdr:row>10</xdr:row>
      <xdr:rowOff>176893</xdr:rowOff>
    </xdr:from>
    <xdr:to>
      <xdr:col>14</xdr:col>
      <xdr:colOff>12701</xdr:colOff>
      <xdr:row>18</xdr:row>
      <xdr:rowOff>177800</xdr:rowOff>
    </xdr:to>
    <xdr:grpSp>
      <xdr:nvGrpSpPr>
        <xdr:cNvPr id="10" name="群組 9">
          <a:extLst>
            <a:ext uri="{FF2B5EF4-FFF2-40B4-BE49-F238E27FC236}">
              <a16:creationId xmlns:a16="http://schemas.microsoft.com/office/drawing/2014/main" id="{AA1EC73C-AB5C-31AA-102E-5EE02EEDB5F7}"/>
            </a:ext>
          </a:extLst>
        </xdr:cNvPr>
        <xdr:cNvGrpSpPr/>
      </xdr:nvGrpSpPr>
      <xdr:grpSpPr>
        <a:xfrm>
          <a:off x="4764172" y="2048472"/>
          <a:ext cx="3309687" cy="1498170"/>
          <a:chOff x="6756401" y="2043793"/>
          <a:chExt cx="3384550" cy="1474107"/>
        </a:xfrm>
      </xdr:grpSpPr>
      <xdr:sp macro="" textlink="">
        <xdr:nvSpPr>
          <xdr:cNvPr id="9" name="矩形: 圓角 8">
            <a:extLst>
              <a:ext uri="{FF2B5EF4-FFF2-40B4-BE49-F238E27FC236}">
                <a16:creationId xmlns:a16="http://schemas.microsoft.com/office/drawing/2014/main" id="{D47314FF-EB19-41A7-AC05-A1BA93BC632D}"/>
              </a:ext>
            </a:extLst>
          </xdr:cNvPr>
          <xdr:cNvSpPr/>
        </xdr:nvSpPr>
        <xdr:spPr>
          <a:xfrm>
            <a:off x="6756401" y="2043793"/>
            <a:ext cx="3384550" cy="1474107"/>
          </a:xfrm>
          <a:prstGeom prst="roundRect">
            <a:avLst>
              <a:gd name="adj" fmla="val 9375"/>
            </a:avLst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7" name="文字方塊 16">
            <a:extLst>
              <a:ext uri="{FF2B5EF4-FFF2-40B4-BE49-F238E27FC236}">
                <a16:creationId xmlns:a16="http://schemas.microsoft.com/office/drawing/2014/main" id="{E2216E8F-6D27-4DAC-9643-0288D570EF0E}"/>
              </a:ext>
            </a:extLst>
          </xdr:cNvPr>
          <xdr:cNvSpPr txBox="1"/>
        </xdr:nvSpPr>
        <xdr:spPr>
          <a:xfrm>
            <a:off x="6997700" y="2221593"/>
            <a:ext cx="2952750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2000">
                <a:solidFill>
                  <a:schemeClr val="accent6">
                    <a:lumMod val="75000"/>
                  </a:schemeClr>
                </a:solidFill>
              </a:rPr>
              <a:t>平均租金  </a:t>
            </a:r>
            <a:r>
              <a:rPr lang="en-US" altLang="zh-CN" sz="2000">
                <a:solidFill>
                  <a:schemeClr val="accent6">
                    <a:lumMod val="75000"/>
                  </a:schemeClr>
                </a:solidFill>
              </a:rPr>
              <a:t>(NTD)</a:t>
            </a:r>
            <a:r>
              <a:rPr lang="zh-CN" altLang="en-US" sz="2000">
                <a:solidFill>
                  <a:schemeClr val="accent6">
                    <a:lumMod val="75000"/>
                  </a:schemeClr>
                </a:solidFill>
              </a:rPr>
              <a:t>：</a:t>
            </a:r>
            <a:endParaRPr lang="zh-TW" altLang="en-US" sz="20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'Pivot table'!C25">
        <xdr:nvSpPr>
          <xdr:cNvPr id="19" name="文字方塊 18">
            <a:extLst>
              <a:ext uri="{FF2B5EF4-FFF2-40B4-BE49-F238E27FC236}">
                <a16:creationId xmlns:a16="http://schemas.microsoft.com/office/drawing/2014/main" id="{ACF4350C-ED58-44A5-AF34-CB33422CBBBD}"/>
              </a:ext>
            </a:extLst>
          </xdr:cNvPr>
          <xdr:cNvSpPr txBox="1"/>
        </xdr:nvSpPr>
        <xdr:spPr>
          <a:xfrm>
            <a:off x="7010400" y="2749550"/>
            <a:ext cx="2921000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392714C-5298-4ED3-A2B8-162FF334B609}" type="TxLink">
              <a:rPr lang="en-US" altLang="en-US" sz="3200" b="0" i="0" u="none" strike="noStrike">
                <a:solidFill>
                  <a:schemeClr val="accent6"/>
                </a:solidFill>
                <a:latin typeface="新細明體"/>
                <a:ea typeface="新細明體"/>
              </a:rPr>
              <a:pPr algn="ctr"/>
              <a:t>$31,331 </a:t>
            </a:fld>
            <a:endParaRPr lang="zh-TW" altLang="en-US" sz="3200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15</xdr:col>
      <xdr:colOff>69851</xdr:colOff>
      <xdr:row>10</xdr:row>
      <xdr:rowOff>176893</xdr:rowOff>
    </xdr:from>
    <xdr:to>
      <xdr:col>21</xdr:col>
      <xdr:colOff>101601</xdr:colOff>
      <xdr:row>18</xdr:row>
      <xdr:rowOff>177800</xdr:rowOff>
    </xdr:to>
    <xdr:grpSp>
      <xdr:nvGrpSpPr>
        <xdr:cNvPr id="15" name="群組 14">
          <a:extLst>
            <a:ext uri="{FF2B5EF4-FFF2-40B4-BE49-F238E27FC236}">
              <a16:creationId xmlns:a16="http://schemas.microsoft.com/office/drawing/2014/main" id="{84C8561F-B92E-4B53-ECE1-392174F86BE6}"/>
            </a:ext>
          </a:extLst>
        </xdr:cNvPr>
        <xdr:cNvGrpSpPr/>
      </xdr:nvGrpSpPr>
      <xdr:grpSpPr>
        <a:xfrm>
          <a:off x="8679114" y="2048472"/>
          <a:ext cx="3320382" cy="1498170"/>
          <a:chOff x="10420351" y="2056493"/>
          <a:chExt cx="3384550" cy="1474107"/>
        </a:xfrm>
      </xdr:grpSpPr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A3E8389B-A4EB-41C6-86CB-234FA0E41D2B}"/>
              </a:ext>
            </a:extLst>
          </xdr:cNvPr>
          <xdr:cNvSpPr/>
        </xdr:nvSpPr>
        <xdr:spPr>
          <a:xfrm>
            <a:off x="10420351" y="2056493"/>
            <a:ext cx="3384550" cy="1474107"/>
          </a:xfrm>
          <a:prstGeom prst="roundRect">
            <a:avLst>
              <a:gd name="adj" fmla="val 9375"/>
            </a:avLst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8" name="文字方塊 17">
            <a:extLst>
              <a:ext uri="{FF2B5EF4-FFF2-40B4-BE49-F238E27FC236}">
                <a16:creationId xmlns:a16="http://schemas.microsoft.com/office/drawing/2014/main" id="{85E7C3DC-8B52-4AF7-8960-F9DA1F4250E3}"/>
              </a:ext>
            </a:extLst>
          </xdr:cNvPr>
          <xdr:cNvSpPr txBox="1"/>
        </xdr:nvSpPr>
        <xdr:spPr>
          <a:xfrm>
            <a:off x="10642600" y="2221593"/>
            <a:ext cx="3022599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2000">
                <a:solidFill>
                  <a:schemeClr val="accent6">
                    <a:lumMod val="75000"/>
                  </a:schemeClr>
                </a:solidFill>
              </a:rPr>
              <a:t>一坪平均租金 </a:t>
            </a:r>
            <a:r>
              <a:rPr lang="en-US" altLang="zh-CN" sz="2000">
                <a:solidFill>
                  <a:schemeClr val="accent6">
                    <a:lumMod val="75000"/>
                  </a:schemeClr>
                </a:solidFill>
              </a:rPr>
              <a:t>(NTD)</a:t>
            </a:r>
            <a:r>
              <a:rPr lang="zh-CN" altLang="en-US" sz="2000">
                <a:solidFill>
                  <a:schemeClr val="accent6">
                    <a:lumMod val="75000"/>
                  </a:schemeClr>
                </a:solidFill>
              </a:rPr>
              <a:t>：</a:t>
            </a:r>
            <a:endParaRPr lang="zh-TW" altLang="en-US" sz="20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'Pivot table'!C26">
        <xdr:nvSpPr>
          <xdr:cNvPr id="20" name="文字方塊 19">
            <a:extLst>
              <a:ext uri="{FF2B5EF4-FFF2-40B4-BE49-F238E27FC236}">
                <a16:creationId xmlns:a16="http://schemas.microsoft.com/office/drawing/2014/main" id="{173F627D-9F18-40AF-BC4F-EE9744ABFB79}"/>
              </a:ext>
            </a:extLst>
          </xdr:cNvPr>
          <xdr:cNvSpPr txBox="1"/>
        </xdr:nvSpPr>
        <xdr:spPr>
          <a:xfrm>
            <a:off x="10725150" y="2717800"/>
            <a:ext cx="2921000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E25433D-81AE-4EBD-B454-660C56B6F301}" type="TxLink">
              <a:rPr lang="en-US" altLang="en-US" sz="3200" b="0" i="0" u="none" strike="noStrike">
                <a:solidFill>
                  <a:schemeClr val="accent6"/>
                </a:solidFill>
                <a:latin typeface="新細明體"/>
                <a:ea typeface="新細明體"/>
              </a:rPr>
              <a:pPr algn="ctr"/>
              <a:t>$868 </a:t>
            </a:fld>
            <a:endParaRPr lang="zh-TW" altLang="en-US" sz="3200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0</xdr:col>
      <xdr:colOff>463550</xdr:colOff>
      <xdr:row>33</xdr:row>
      <xdr:rowOff>133350</xdr:rowOff>
    </xdr:from>
    <xdr:to>
      <xdr:col>13</xdr:col>
      <xdr:colOff>107950</xdr:colOff>
      <xdr:row>52</xdr:row>
      <xdr:rowOff>19051</xdr:rowOff>
    </xdr:to>
    <xdr:sp macro="" textlink="">
      <xdr:nvSpPr>
        <xdr:cNvPr id="3" name="矩形: 圓角 2">
          <a:extLst>
            <a:ext uri="{FF2B5EF4-FFF2-40B4-BE49-F238E27FC236}">
              <a16:creationId xmlns:a16="http://schemas.microsoft.com/office/drawing/2014/main" id="{A336A7DC-6C5F-4DA4-A194-D741ADFE24FE}"/>
            </a:ext>
          </a:extLst>
        </xdr:cNvPr>
        <xdr:cNvSpPr/>
      </xdr:nvSpPr>
      <xdr:spPr>
        <a:xfrm>
          <a:off x="463550" y="6235700"/>
          <a:ext cx="7156450" cy="3384551"/>
        </a:xfrm>
        <a:prstGeom prst="roundRect">
          <a:avLst>
            <a:gd name="adj" fmla="val 9375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330200</xdr:colOff>
      <xdr:row>34</xdr:row>
      <xdr:rowOff>24493</xdr:rowOff>
    </xdr:from>
    <xdr:to>
      <xdr:col>21</xdr:col>
      <xdr:colOff>114300</xdr:colOff>
      <xdr:row>52</xdr:row>
      <xdr:rowOff>0</xdr:rowOff>
    </xdr:to>
    <xdr:sp macro="" textlink="">
      <xdr:nvSpPr>
        <xdr:cNvPr id="22" name="矩形: 圓角 21">
          <a:extLst>
            <a:ext uri="{FF2B5EF4-FFF2-40B4-BE49-F238E27FC236}">
              <a16:creationId xmlns:a16="http://schemas.microsoft.com/office/drawing/2014/main" id="{A0F76B2F-F5C6-41B1-8B36-E3AE128555F2}"/>
            </a:ext>
          </a:extLst>
        </xdr:cNvPr>
        <xdr:cNvSpPr/>
      </xdr:nvSpPr>
      <xdr:spPr>
        <a:xfrm>
          <a:off x="7842250" y="6310993"/>
          <a:ext cx="4254500" cy="3290207"/>
        </a:xfrm>
        <a:prstGeom prst="roundRect">
          <a:avLst>
            <a:gd name="adj" fmla="val 9375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393700</xdr:colOff>
      <xdr:row>20</xdr:row>
      <xdr:rowOff>37193</xdr:rowOff>
    </xdr:from>
    <xdr:to>
      <xdr:col>21</xdr:col>
      <xdr:colOff>88900</xdr:colOff>
      <xdr:row>32</xdr:row>
      <xdr:rowOff>152400</xdr:rowOff>
    </xdr:to>
    <xdr:sp macro="" textlink="">
      <xdr:nvSpPr>
        <xdr:cNvPr id="26" name="矩形: 圓角 25">
          <a:extLst>
            <a:ext uri="{FF2B5EF4-FFF2-40B4-BE49-F238E27FC236}">
              <a16:creationId xmlns:a16="http://schemas.microsoft.com/office/drawing/2014/main" id="{9220C8F1-3690-4C00-825B-0B50B32E0995}"/>
            </a:ext>
          </a:extLst>
        </xdr:cNvPr>
        <xdr:cNvSpPr/>
      </xdr:nvSpPr>
      <xdr:spPr>
        <a:xfrm>
          <a:off x="4552950" y="3720193"/>
          <a:ext cx="7518400" cy="2350407"/>
        </a:xfrm>
        <a:prstGeom prst="roundRect">
          <a:avLst>
            <a:gd name="adj" fmla="val 9375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</xdr:col>
      <xdr:colOff>50800</xdr:colOff>
      <xdr:row>34</xdr:row>
      <xdr:rowOff>107043</xdr:rowOff>
    </xdr:from>
    <xdr:to>
      <xdr:col>6</xdr:col>
      <xdr:colOff>209550</xdr:colOff>
      <xdr:row>37</xdr:row>
      <xdr:rowOff>100693</xdr:rowOff>
    </xdr:to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1B563166-8C9F-45D2-A97F-02E5AE7ECF7A}"/>
            </a:ext>
          </a:extLst>
        </xdr:cNvPr>
        <xdr:cNvSpPr txBox="1"/>
      </xdr:nvSpPr>
      <xdr:spPr>
        <a:xfrm>
          <a:off x="609600" y="6368143"/>
          <a:ext cx="2952750" cy="546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chemeClr val="accent6">
                  <a:lumMod val="75000"/>
                </a:schemeClr>
              </a:solidFill>
            </a:rPr>
            <a:t>縣市平均租金與一坪平均租金</a:t>
          </a:r>
          <a:endParaRPr lang="zh-TW" altLang="en-US" sz="16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546100</xdr:colOff>
      <xdr:row>22</xdr:row>
      <xdr:rowOff>57150</xdr:rowOff>
    </xdr:from>
    <xdr:to>
      <xdr:col>17</xdr:col>
      <xdr:colOff>146050</xdr:colOff>
      <xdr:row>32</xdr:row>
      <xdr:rowOff>101600</xdr:rowOff>
    </xdr:to>
    <xdr:graphicFrame macro="">
      <xdr:nvGraphicFramePr>
        <xdr:cNvPr id="30" name="圖表 29">
          <a:extLst>
            <a:ext uri="{FF2B5EF4-FFF2-40B4-BE49-F238E27FC236}">
              <a16:creationId xmlns:a16="http://schemas.microsoft.com/office/drawing/2014/main" id="{F31DCB2B-9B97-49CF-A5DD-3661A421A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76200</xdr:colOff>
      <xdr:row>20</xdr:row>
      <xdr:rowOff>81643</xdr:rowOff>
    </xdr:from>
    <xdr:to>
      <xdr:col>13</xdr:col>
      <xdr:colOff>234950</xdr:colOff>
      <xdr:row>22</xdr:row>
      <xdr:rowOff>139700</xdr:rowOff>
    </xdr:to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9F8062D7-6328-49A1-B253-2E131A02EFE3}"/>
            </a:ext>
          </a:extLst>
        </xdr:cNvPr>
        <xdr:cNvSpPr txBox="1"/>
      </xdr:nvSpPr>
      <xdr:spPr>
        <a:xfrm>
          <a:off x="4546600" y="3764643"/>
          <a:ext cx="2952750" cy="426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chemeClr val="accent6">
                  <a:lumMod val="75000"/>
                </a:schemeClr>
              </a:solidFill>
            </a:rPr>
            <a:t>坪數與一坪租金之關係</a:t>
          </a:r>
          <a:endParaRPr lang="zh-TW" altLang="en-US" sz="16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17</xdr:col>
      <xdr:colOff>393700</xdr:colOff>
      <xdr:row>27</xdr:row>
      <xdr:rowOff>44450</xdr:rowOff>
    </xdr:from>
    <xdr:to>
      <xdr:col>20</xdr:col>
      <xdr:colOff>273049</xdr:colOff>
      <xdr:row>31</xdr:row>
      <xdr:rowOff>171450</xdr:rowOff>
    </xdr:to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DBC49C82-24F2-FC6A-1919-61397D9AA1CC}"/>
            </a:ext>
          </a:extLst>
        </xdr:cNvPr>
        <xdr:cNvSpPr txBox="1"/>
      </xdr:nvSpPr>
      <xdr:spPr>
        <a:xfrm>
          <a:off x="10140950" y="5041900"/>
          <a:ext cx="1555749" cy="863600"/>
        </a:xfrm>
        <a:prstGeom prst="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備註</a:t>
          </a:r>
          <a:endParaRPr lang="en-US" altLang="zh-CN" sz="1100">
            <a:solidFill>
              <a:schemeClr val="accent3">
                <a:lumMod val="60000"/>
                <a:lumOff val="40000"/>
              </a:schemeClr>
            </a:solidFill>
          </a:endParaRPr>
        </a:p>
        <a:p>
          <a:r>
            <a:rPr lang="en-US" altLang="zh-CN" sz="1100">
              <a:solidFill>
                <a:schemeClr val="accent3">
                  <a:lumMod val="60000"/>
                  <a:lumOff val="40000"/>
                </a:schemeClr>
              </a:solidFill>
            </a:rPr>
            <a:t>*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小坪數（</a:t>
          </a:r>
          <a:r>
            <a:rPr lang="en-US" altLang="zh-CN" sz="1100">
              <a:solidFill>
                <a:schemeClr val="accent3">
                  <a:lumMod val="60000"/>
                  <a:lumOff val="40000"/>
                </a:schemeClr>
              </a:solidFill>
            </a:rPr>
            <a:t>&lt;= 15 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坪）</a:t>
          </a:r>
          <a:endParaRPr lang="en-US" altLang="zh-CN" sz="1100">
            <a:solidFill>
              <a:schemeClr val="accent3">
                <a:lumMod val="60000"/>
                <a:lumOff val="40000"/>
              </a:schemeClr>
            </a:solidFill>
          </a:endParaRPr>
        </a:p>
        <a:p>
          <a:r>
            <a:rPr lang="en-US" altLang="zh-TW" sz="1100">
              <a:solidFill>
                <a:schemeClr val="accent3">
                  <a:lumMod val="60000"/>
                  <a:lumOff val="40000"/>
                </a:schemeClr>
              </a:solidFill>
            </a:rPr>
            <a:t>*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中數（介於</a:t>
          </a:r>
          <a:r>
            <a:rPr lang="en-US" altLang="zh-CN" sz="1100">
              <a:solidFill>
                <a:schemeClr val="accent3">
                  <a:lumMod val="60000"/>
                  <a:lumOff val="40000"/>
                </a:schemeClr>
              </a:solidFill>
            </a:rPr>
            <a:t>15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至</a:t>
          </a:r>
          <a:r>
            <a:rPr lang="en-US" altLang="zh-CN" sz="1100">
              <a:solidFill>
                <a:schemeClr val="accent3">
                  <a:lumMod val="60000"/>
                  <a:lumOff val="40000"/>
                </a:schemeClr>
              </a:solidFill>
            </a:rPr>
            <a:t>30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坪）</a:t>
          </a:r>
          <a:endParaRPr lang="en-US" altLang="zh-CN" sz="1100">
            <a:solidFill>
              <a:schemeClr val="accent3">
                <a:lumMod val="60000"/>
                <a:lumOff val="40000"/>
              </a:schemeClr>
            </a:solidFill>
          </a:endParaRPr>
        </a:p>
        <a:p>
          <a:r>
            <a:rPr lang="en-US" altLang="zh-TW" sz="1100">
              <a:solidFill>
                <a:schemeClr val="accent3">
                  <a:lumMod val="60000"/>
                  <a:lumOff val="40000"/>
                </a:schemeClr>
              </a:solidFill>
            </a:rPr>
            <a:t>*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大坪數（大於</a:t>
          </a:r>
          <a:r>
            <a:rPr lang="en-US" altLang="zh-CN" sz="1100">
              <a:solidFill>
                <a:schemeClr val="accent3">
                  <a:lumMod val="60000"/>
                  <a:lumOff val="40000"/>
                </a:schemeClr>
              </a:solidFill>
            </a:rPr>
            <a:t>30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坪）</a:t>
          </a:r>
          <a:endParaRPr lang="zh-TW" altLang="en-US" sz="1100">
            <a:solidFill>
              <a:schemeClr val="accent3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533400</xdr:colOff>
      <xdr:row>19</xdr:row>
      <xdr:rowOff>139699</xdr:rowOff>
    </xdr:from>
    <xdr:to>
      <xdr:col>6</xdr:col>
      <xdr:colOff>380999</xdr:colOff>
      <xdr:row>21</xdr:row>
      <xdr:rowOff>145142</xdr:rowOff>
    </xdr:to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35D34665-C21E-4F45-BA78-9A8752186F83}"/>
            </a:ext>
          </a:extLst>
        </xdr:cNvPr>
        <xdr:cNvSpPr txBox="1"/>
      </xdr:nvSpPr>
      <xdr:spPr>
        <a:xfrm>
          <a:off x="533400" y="3638549"/>
          <a:ext cx="3448049" cy="399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>
              <a:solidFill>
                <a:schemeClr val="accent6">
                  <a:lumMod val="75000"/>
                </a:schemeClr>
              </a:solidFill>
            </a:rPr>
            <a:t>坪數大小與房間數量對一坪租金的影響</a:t>
          </a:r>
          <a:endParaRPr lang="zh-TW" altLang="en-US" sz="12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14</xdr:col>
      <xdr:colOff>25400</xdr:colOff>
      <xdr:row>37</xdr:row>
      <xdr:rowOff>50799</xdr:rowOff>
    </xdr:from>
    <xdr:to>
      <xdr:col>20</xdr:col>
      <xdr:colOff>457200</xdr:colOff>
      <xdr:row>51</xdr:row>
      <xdr:rowOff>37192</xdr:rowOff>
    </xdr:to>
    <xdr:graphicFrame macro="">
      <xdr:nvGraphicFramePr>
        <xdr:cNvPr id="38" name="圖表 37">
          <a:extLst>
            <a:ext uri="{FF2B5EF4-FFF2-40B4-BE49-F238E27FC236}">
              <a16:creationId xmlns:a16="http://schemas.microsoft.com/office/drawing/2014/main" id="{8D348156-1852-4F51-B053-FE66AC794A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533400</xdr:colOff>
      <xdr:row>35</xdr:row>
      <xdr:rowOff>37193</xdr:rowOff>
    </xdr:from>
    <xdr:to>
      <xdr:col>19</xdr:col>
      <xdr:colOff>323850</xdr:colOff>
      <xdr:row>37</xdr:row>
      <xdr:rowOff>120650</xdr:rowOff>
    </xdr:to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E024EEBA-5360-4035-B3F9-0357922BF0D9}"/>
            </a:ext>
          </a:extLst>
        </xdr:cNvPr>
        <xdr:cNvSpPr txBox="1"/>
      </xdr:nvSpPr>
      <xdr:spPr>
        <a:xfrm>
          <a:off x="8045450" y="6507843"/>
          <a:ext cx="3143250" cy="4517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chemeClr val="accent6">
                  <a:lumMod val="75000"/>
                </a:schemeClr>
              </a:solidFill>
            </a:rPr>
            <a:t>建物樓層數量與一坪租金之關係</a:t>
          </a:r>
          <a:endParaRPr lang="zh-TW" altLang="en-US" sz="16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30</xdr:col>
      <xdr:colOff>107950</xdr:colOff>
      <xdr:row>1</xdr:row>
      <xdr:rowOff>151493</xdr:rowOff>
    </xdr:from>
    <xdr:to>
      <xdr:col>32</xdr:col>
      <xdr:colOff>260350</xdr:colOff>
      <xdr:row>7</xdr:row>
      <xdr:rowOff>157843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區">
              <a:extLst>
                <a:ext uri="{FF2B5EF4-FFF2-40B4-BE49-F238E27FC236}">
                  <a16:creationId xmlns:a16="http://schemas.microsoft.com/office/drawing/2014/main" id="{29BFE73B-3CF5-4D73-AD60-DA5429E3882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區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12200" y="335643"/>
              <a:ext cx="18288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>
    <xdr:from>
      <xdr:col>2</xdr:col>
      <xdr:colOff>254000</xdr:colOff>
      <xdr:row>36</xdr:row>
      <xdr:rowOff>25400</xdr:rowOff>
    </xdr:from>
    <xdr:to>
      <xdr:col>11</xdr:col>
      <xdr:colOff>320675</xdr:colOff>
      <xdr:row>51</xdr:row>
      <xdr:rowOff>6350</xdr:rowOff>
    </xdr:to>
    <xdr:graphicFrame macro="">
      <xdr:nvGraphicFramePr>
        <xdr:cNvPr id="25" name="圖表 24">
          <a:extLst>
            <a:ext uri="{FF2B5EF4-FFF2-40B4-BE49-F238E27FC236}">
              <a16:creationId xmlns:a16="http://schemas.microsoft.com/office/drawing/2014/main" id="{A8C9A4AE-D3C7-4796-B465-2E494279B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425453</xdr:colOff>
      <xdr:row>16</xdr:row>
      <xdr:rowOff>176893</xdr:rowOff>
    </xdr:from>
    <xdr:to>
      <xdr:col>24</xdr:col>
      <xdr:colOff>1212851</xdr:colOff>
      <xdr:row>18</xdr:row>
      <xdr:rowOff>127000</xdr:rowOff>
    </xdr:to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8FF2F726-4641-498C-B425-78C7DFDA098F}"/>
            </a:ext>
          </a:extLst>
        </xdr:cNvPr>
        <xdr:cNvSpPr txBox="1"/>
      </xdr:nvSpPr>
      <xdr:spPr>
        <a:xfrm>
          <a:off x="14293853" y="3123293"/>
          <a:ext cx="787398" cy="3438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>
              <a:solidFill>
                <a:schemeClr val="accent6">
                  <a:lumMod val="75000"/>
                </a:schemeClr>
              </a:solidFill>
            </a:rPr>
            <a:t>縣市：</a:t>
          </a:r>
          <a:endParaRPr lang="zh-TW" altLang="en-US" sz="12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1744980</xdr:colOff>
          <xdr:row>17</xdr:row>
          <xdr:rowOff>53340</xdr:rowOff>
        </xdr:from>
        <xdr:to>
          <xdr:col>26</xdr:col>
          <xdr:colOff>350520</xdr:colOff>
          <xdr:row>18</xdr:row>
          <xdr:rowOff>99060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80079</xdr:colOff>
      <xdr:row>10</xdr:row>
      <xdr:rowOff>128098</xdr:rowOff>
    </xdr:from>
    <xdr:to>
      <xdr:col>32</xdr:col>
      <xdr:colOff>339692</xdr:colOff>
      <xdr:row>19</xdr:row>
      <xdr:rowOff>148055</xdr:rowOff>
    </xdr:to>
    <xdr:grpSp>
      <xdr:nvGrpSpPr>
        <xdr:cNvPr id="36" name="群組 35">
          <a:extLst>
            <a:ext uri="{FF2B5EF4-FFF2-40B4-BE49-F238E27FC236}">
              <a16:creationId xmlns:a16="http://schemas.microsoft.com/office/drawing/2014/main" id="{A23C3018-D05E-F5E6-C166-6496746A4FA4}"/>
            </a:ext>
          </a:extLst>
        </xdr:cNvPr>
        <xdr:cNvGrpSpPr/>
      </xdr:nvGrpSpPr>
      <xdr:grpSpPr>
        <a:xfrm>
          <a:off x="12526079" y="1999677"/>
          <a:ext cx="10085402" cy="1704378"/>
          <a:chOff x="13309602" y="1992993"/>
          <a:chExt cx="10109198" cy="1759857"/>
        </a:xfrm>
      </xdr:grpSpPr>
      <xdr:grpSp>
        <xdr:nvGrpSpPr>
          <xdr:cNvPr id="27" name="群組 26">
            <a:extLst>
              <a:ext uri="{FF2B5EF4-FFF2-40B4-BE49-F238E27FC236}">
                <a16:creationId xmlns:a16="http://schemas.microsoft.com/office/drawing/2014/main" id="{0612FCA7-18A8-B700-5455-37563D9AA079}"/>
              </a:ext>
            </a:extLst>
          </xdr:cNvPr>
          <xdr:cNvGrpSpPr/>
        </xdr:nvGrpSpPr>
        <xdr:grpSpPr>
          <a:xfrm>
            <a:off x="13309602" y="1992993"/>
            <a:ext cx="10109198" cy="1759857"/>
            <a:chOff x="12496802" y="2012043"/>
            <a:chExt cx="7207249" cy="1759857"/>
          </a:xfrm>
        </xdr:grpSpPr>
        <xdr:grpSp>
          <xdr:nvGrpSpPr>
            <xdr:cNvPr id="41" name="群組 40">
              <a:extLst>
                <a:ext uri="{FF2B5EF4-FFF2-40B4-BE49-F238E27FC236}">
                  <a16:creationId xmlns:a16="http://schemas.microsoft.com/office/drawing/2014/main" id="{B954C48A-B9F2-490C-A240-21E3F4D785A7}"/>
                </a:ext>
              </a:extLst>
            </xdr:cNvPr>
            <xdr:cNvGrpSpPr/>
          </xdr:nvGrpSpPr>
          <xdr:grpSpPr>
            <a:xfrm>
              <a:off x="12496802" y="2012043"/>
              <a:ext cx="7207249" cy="1759857"/>
              <a:chOff x="10304054" y="2072450"/>
              <a:chExt cx="3384550" cy="1474107"/>
            </a:xfrm>
          </xdr:grpSpPr>
          <xdr:sp macro="" textlink="">
            <xdr:nvSpPr>
              <xdr:cNvPr id="42" name="矩形: 圓角 41">
                <a:extLst>
                  <a:ext uri="{FF2B5EF4-FFF2-40B4-BE49-F238E27FC236}">
                    <a16:creationId xmlns:a16="http://schemas.microsoft.com/office/drawing/2014/main" id="{195FCC03-E72A-9AF1-7DA5-6F91F8EAEC18}"/>
                  </a:ext>
                </a:extLst>
              </xdr:cNvPr>
              <xdr:cNvSpPr/>
            </xdr:nvSpPr>
            <xdr:spPr>
              <a:xfrm>
                <a:off x="10304054" y="2072450"/>
                <a:ext cx="3384550" cy="1474107"/>
              </a:xfrm>
              <a:prstGeom prst="roundRect">
                <a:avLst>
                  <a:gd name="adj" fmla="val 9375"/>
                </a:avLst>
              </a:prstGeom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zh-TW" altLang="en-US" sz="1100"/>
              </a:p>
            </xdr:txBody>
          </xdr:sp>
          <xdr:sp macro="" textlink="">
            <xdr:nvSpPr>
              <xdr:cNvPr id="43" name="文字方塊 42">
                <a:extLst>
                  <a:ext uri="{FF2B5EF4-FFF2-40B4-BE49-F238E27FC236}">
                    <a16:creationId xmlns:a16="http://schemas.microsoft.com/office/drawing/2014/main" id="{BE81D0EE-3C07-A6CB-EC0A-9272F23A6988}"/>
                  </a:ext>
                </a:extLst>
              </xdr:cNvPr>
              <xdr:cNvSpPr txBox="1"/>
            </xdr:nvSpPr>
            <xdr:spPr>
              <a:xfrm>
                <a:off x="11862464" y="2221593"/>
                <a:ext cx="392411" cy="245831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endParaRPr lang="zh-TW" altLang="en-US" sz="2000">
                  <a:solidFill>
                    <a:schemeClr val="accent6">
                      <a:lumMod val="75000"/>
                    </a:schemeClr>
                  </a:solidFill>
                </a:endParaRPr>
              </a:p>
            </xdr:txBody>
          </xdr:sp>
        </xdr:grpSp>
        <xdr:sp macro="" textlink="">
          <xdr:nvSpPr>
            <xdr:cNvPr id="45" name="文字方塊 44">
              <a:extLst>
                <a:ext uri="{FF2B5EF4-FFF2-40B4-BE49-F238E27FC236}">
                  <a16:creationId xmlns:a16="http://schemas.microsoft.com/office/drawing/2014/main" id="{415FBF17-2EFA-78D9-A9B8-33D45AA9839C}"/>
                </a:ext>
              </a:extLst>
            </xdr:cNvPr>
            <xdr:cNvSpPr txBox="1"/>
          </xdr:nvSpPr>
          <xdr:spPr>
            <a:xfrm>
              <a:off x="14490700" y="2063750"/>
              <a:ext cx="3289300" cy="3619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zh-CN" altLang="en-US" sz="2000" b="1">
                  <a:solidFill>
                    <a:schemeClr val="accent6">
                      <a:lumMod val="75000"/>
                    </a:schemeClr>
                  </a:solidFill>
                </a:rPr>
                <a:t>篩選建物 </a:t>
              </a:r>
              <a:endParaRPr lang="zh-TW" altLang="en-US" sz="2000" b="1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" name="文字方塊 46">
              <a:extLst>
                <a:ext uri="{FF2B5EF4-FFF2-40B4-BE49-F238E27FC236}">
                  <a16:creationId xmlns:a16="http://schemas.microsoft.com/office/drawing/2014/main" id="{AA78710D-0528-410D-A0A6-06B16BAEE605}"/>
                </a:ext>
              </a:extLst>
            </xdr:cNvPr>
            <xdr:cNvSpPr txBox="1"/>
          </xdr:nvSpPr>
          <xdr:spPr>
            <a:xfrm>
              <a:off x="13176251" y="2520043"/>
              <a:ext cx="1066799" cy="34380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價格區間 ：</a:t>
              </a:r>
              <a:endParaRPr lang="zh-TW" altLang="en-US" sz="12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" name="文字方塊 47">
              <a:extLst>
                <a:ext uri="{FF2B5EF4-FFF2-40B4-BE49-F238E27FC236}">
                  <a16:creationId xmlns:a16="http://schemas.microsoft.com/office/drawing/2014/main" id="{736F18AF-7371-4A51-A262-C1668D36D92B}"/>
                </a:ext>
              </a:extLst>
            </xdr:cNvPr>
            <xdr:cNvSpPr txBox="1"/>
          </xdr:nvSpPr>
          <xdr:spPr>
            <a:xfrm>
              <a:off x="13179897" y="2837543"/>
              <a:ext cx="939799" cy="34380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坪數 </a:t>
              </a:r>
              <a:r>
                <a:rPr lang="en-US" altLang="zh-CN" sz="1200">
                  <a:solidFill>
                    <a:schemeClr val="accent6">
                      <a:lumMod val="75000"/>
                    </a:schemeClr>
                  </a:solidFill>
                </a:rPr>
                <a:t>(&gt;=)</a:t>
              </a:r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：</a:t>
              </a:r>
              <a:endParaRPr lang="zh-TW" altLang="en-US" sz="12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" name="文字方塊 48">
              <a:extLst>
                <a:ext uri="{FF2B5EF4-FFF2-40B4-BE49-F238E27FC236}">
                  <a16:creationId xmlns:a16="http://schemas.microsoft.com/office/drawing/2014/main" id="{13CBA9A1-7984-4C8F-A43A-7F8B6F19808C}"/>
                </a:ext>
              </a:extLst>
            </xdr:cNvPr>
            <xdr:cNvSpPr txBox="1"/>
          </xdr:nvSpPr>
          <xdr:spPr>
            <a:xfrm>
              <a:off x="16656051" y="2539093"/>
              <a:ext cx="857249" cy="34380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房間數量：</a:t>
              </a:r>
              <a:endParaRPr lang="zh-TW" altLang="en-US" sz="12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" name="文字方塊 49">
              <a:extLst>
                <a:ext uri="{FF2B5EF4-FFF2-40B4-BE49-F238E27FC236}">
                  <a16:creationId xmlns:a16="http://schemas.microsoft.com/office/drawing/2014/main" id="{A0AB4455-5558-4729-BAA0-A8D2A3CAE55C}"/>
                </a:ext>
              </a:extLst>
            </xdr:cNvPr>
            <xdr:cNvSpPr txBox="1"/>
          </xdr:nvSpPr>
          <xdr:spPr>
            <a:xfrm>
              <a:off x="16694151" y="2856593"/>
              <a:ext cx="857249" cy="34380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衛浴：</a:t>
              </a:r>
              <a:endParaRPr lang="zh-TW" altLang="en-US" sz="12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" name="文字方塊 50">
              <a:extLst>
                <a:ext uri="{FF2B5EF4-FFF2-40B4-BE49-F238E27FC236}">
                  <a16:creationId xmlns:a16="http://schemas.microsoft.com/office/drawing/2014/main" id="{F8E4ED7A-3C6B-42CA-8596-A6456979D37E}"/>
                </a:ext>
              </a:extLst>
            </xdr:cNvPr>
            <xdr:cNvSpPr txBox="1"/>
          </xdr:nvSpPr>
          <xdr:spPr>
            <a:xfrm>
              <a:off x="18415001" y="2850243"/>
              <a:ext cx="450849" cy="34380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廳：</a:t>
              </a:r>
              <a:endParaRPr lang="zh-TW" altLang="en-US" sz="12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0" name="cmdSearch" hidden="1">
                  <a:extLst>
                    <a:ext uri="{63B3BB69-23CF-44E3-9099-C40C66FF867C}">
                      <a14:compatExt spid="_x0000_s2050"/>
                    </a:ext>
                    <a:ext uri="{FF2B5EF4-FFF2-40B4-BE49-F238E27FC236}">
                      <a16:creationId xmlns:a16="http://schemas.microsoft.com/office/drawing/2014/main" id="{00000000-0008-0000-0400-000002080000}"/>
                    </a:ext>
                  </a:extLst>
                </xdr:cNvPr>
                <xdr:cNvSpPr/>
              </xdr:nvSpPr>
              <xdr:spPr bwMode="auto">
                <a:xfrm>
                  <a:off x="18546851" y="3346450"/>
                  <a:ext cx="774700" cy="2794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32004" rIns="27432" bIns="32004" anchor="ctr" upright="1"/>
                <a:lstStyle/>
                <a:p>
                  <a:pPr algn="ctr" rtl="0">
                    <a:defRPr sz="1000"/>
                  </a:pPr>
                  <a:r>
                    <a:rPr lang="zh-TW" altLang="en-US" sz="11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查詢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1" name="chkBath" hidden="1">
                  <a:extLst>
                    <a:ext uri="{63B3BB69-23CF-44E3-9099-C40C66FF867C}">
                      <a14:compatExt spid="_x0000_s2051"/>
                    </a:ext>
                    <a:ext uri="{FF2B5EF4-FFF2-40B4-BE49-F238E27FC236}">
                      <a16:creationId xmlns:a16="http://schemas.microsoft.com/office/drawing/2014/main" id="{00000000-0008-0000-0400-000003080000}"/>
                    </a:ext>
                  </a:extLst>
                </xdr:cNvPr>
                <xdr:cNvSpPr/>
              </xdr:nvSpPr>
              <xdr:spPr bwMode="auto">
                <a:xfrm>
                  <a:off x="17506950" y="2901950"/>
                  <a:ext cx="533400" cy="2032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Microsoft JhengHei UI"/>
                      <a:ea typeface="Microsoft JhengHei UI"/>
                    </a:rPr>
                    <a:t>有/無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2" name="chkHall" hidden="1">
                  <a:extLst>
                    <a:ext uri="{63B3BB69-23CF-44E3-9099-C40C66FF867C}">
                      <a14:compatExt spid="_x0000_s2052"/>
                    </a:ext>
                    <a:ext uri="{FF2B5EF4-FFF2-40B4-BE49-F238E27FC236}">
                      <a16:creationId xmlns:a16="http://schemas.microsoft.com/office/drawing/2014/main" id="{00000000-0008-0000-0400-000004080000}"/>
                    </a:ext>
                  </a:extLst>
                </xdr:cNvPr>
                <xdr:cNvSpPr/>
              </xdr:nvSpPr>
              <xdr:spPr bwMode="auto">
                <a:xfrm>
                  <a:off x="18789650" y="2901950"/>
                  <a:ext cx="533400" cy="2032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Microsoft JhengHei UI"/>
                      <a:ea typeface="Microsoft JhengHei UI"/>
                    </a:rPr>
                    <a:t>有/無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3" name="cmbRoom" hidden="1">
                  <a:extLst>
                    <a:ext uri="{63B3BB69-23CF-44E3-9099-C40C66FF867C}">
                      <a14:compatExt spid="_x0000_s2053"/>
                    </a:ext>
                    <a:ext uri="{FF2B5EF4-FFF2-40B4-BE49-F238E27FC236}">
                      <a16:creationId xmlns:a16="http://schemas.microsoft.com/office/drawing/2014/main" id="{00000000-0008-0000-0400-000005080000}"/>
                    </a:ext>
                  </a:extLst>
                </xdr:cNvPr>
                <xdr:cNvSpPr/>
              </xdr:nvSpPr>
              <xdr:spPr bwMode="auto">
                <a:xfrm>
                  <a:off x="17538700" y="2540000"/>
                  <a:ext cx="635000" cy="2349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6" name="txtPriceMin">
              <a:extLst>
                <a:ext uri="{FF2B5EF4-FFF2-40B4-BE49-F238E27FC236}">
                  <a16:creationId xmlns:a16="http://schemas.microsoft.com/office/drawing/2014/main" id="{B2F94921-7256-4A76-31AE-EE87795EBBEB}"/>
                </a:ext>
              </a:extLst>
            </xdr:cNvPr>
            <xdr:cNvSpPr txBox="1"/>
          </xdr:nvSpPr>
          <xdr:spPr>
            <a:xfrm>
              <a:off x="14128750" y="2552700"/>
              <a:ext cx="723900" cy="1905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zh-TW" altLang="en-US" sz="1100"/>
            </a:p>
          </xdr:txBody>
        </xdr:sp>
        <xdr:sp macro="" textlink="">
          <xdr:nvSpPr>
            <xdr:cNvPr id="13" name="txtPriceMax">
              <a:extLst>
                <a:ext uri="{FF2B5EF4-FFF2-40B4-BE49-F238E27FC236}">
                  <a16:creationId xmlns:a16="http://schemas.microsoft.com/office/drawing/2014/main" id="{D47E3F41-5FE5-49B4-B772-675793029165}"/>
                </a:ext>
              </a:extLst>
            </xdr:cNvPr>
            <xdr:cNvSpPr txBox="1"/>
          </xdr:nvSpPr>
          <xdr:spPr>
            <a:xfrm>
              <a:off x="15278100" y="2546350"/>
              <a:ext cx="857250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zh-TW" altLang="en-US" sz="1100"/>
            </a:p>
          </xdr:txBody>
        </xdr:sp>
        <xdr:sp macro="" textlink="">
          <xdr:nvSpPr>
            <xdr:cNvPr id="21" name="txtAreaMin">
              <a:extLst>
                <a:ext uri="{FF2B5EF4-FFF2-40B4-BE49-F238E27FC236}">
                  <a16:creationId xmlns:a16="http://schemas.microsoft.com/office/drawing/2014/main" id="{EB856860-E927-4A7E-854B-EFCC3EACB6A9}"/>
                </a:ext>
              </a:extLst>
            </xdr:cNvPr>
            <xdr:cNvSpPr txBox="1"/>
          </xdr:nvSpPr>
          <xdr:spPr>
            <a:xfrm>
              <a:off x="14135100" y="2882900"/>
              <a:ext cx="698500" cy="196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zh-TW" altLang="en-US" sz="1100"/>
            </a:p>
          </xdr:txBody>
        </xdr:sp>
        <xdr:sp macro="" textlink="">
          <xdr:nvSpPr>
            <xdr:cNvPr id="23" name="文字方塊 22">
              <a:extLst>
                <a:ext uri="{FF2B5EF4-FFF2-40B4-BE49-F238E27FC236}">
                  <a16:creationId xmlns:a16="http://schemas.microsoft.com/office/drawing/2014/main" id="{EECAC970-B5DA-4EE3-92A2-5037903B921F}"/>
                </a:ext>
              </a:extLst>
            </xdr:cNvPr>
            <xdr:cNvSpPr txBox="1"/>
          </xdr:nvSpPr>
          <xdr:spPr>
            <a:xfrm>
              <a:off x="14941550" y="2559050"/>
              <a:ext cx="203200" cy="2095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100">
                  <a:solidFill>
                    <a:schemeClr val="accent6">
                      <a:lumMod val="75000"/>
                    </a:schemeClr>
                  </a:solidFill>
                </a:rPr>
                <a:t>至</a:t>
              </a:r>
              <a:endParaRPr lang="zh-TW" altLang="en-US" sz="11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4" name="文字方塊 33">
            <a:extLst>
              <a:ext uri="{FF2B5EF4-FFF2-40B4-BE49-F238E27FC236}">
                <a16:creationId xmlns:a16="http://schemas.microsoft.com/office/drawing/2014/main" id="{16910514-874E-44ED-BAFC-FE4B7292E7C7}"/>
              </a:ext>
            </a:extLst>
          </xdr:cNvPr>
          <xdr:cNvSpPr txBox="1"/>
        </xdr:nvSpPr>
        <xdr:spPr>
          <a:xfrm>
            <a:off x="13455650" y="3517901"/>
            <a:ext cx="1822450" cy="2159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900">
                <a:solidFill>
                  <a:schemeClr val="accent6">
                    <a:lumMod val="60000"/>
                    <a:lumOff val="40000"/>
                  </a:schemeClr>
                </a:solidFill>
              </a:rPr>
              <a:t> </a:t>
            </a:r>
            <a:r>
              <a:rPr lang="en-US" altLang="zh-CN" sz="900">
                <a:solidFill>
                  <a:schemeClr val="accent6">
                    <a:lumMod val="60000"/>
                    <a:lumOff val="40000"/>
                  </a:schemeClr>
                </a:solidFill>
              </a:rPr>
              <a:t>*</a:t>
            </a:r>
            <a:r>
              <a:rPr lang="zh-CN" altLang="en-US" sz="900">
                <a:solidFill>
                  <a:schemeClr val="accent6">
                    <a:lumMod val="60000"/>
                    <a:lumOff val="40000"/>
                  </a:schemeClr>
                </a:solidFill>
              </a:rPr>
              <a:t>由租金以小到大排列</a:t>
            </a:r>
            <a:endParaRPr lang="zh-TW" altLang="en-US" sz="900">
              <a:solidFill>
                <a:schemeClr val="accent6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1737360</xdr:colOff>
          <xdr:row>17</xdr:row>
          <xdr:rowOff>60960</xdr:rowOff>
        </xdr:from>
        <xdr:to>
          <xdr:col>27</xdr:col>
          <xdr:colOff>2254</xdr:colOff>
          <xdr:row>18</xdr:row>
          <xdr:rowOff>106680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425453</xdr:colOff>
      <xdr:row>16</xdr:row>
      <xdr:rowOff>170543</xdr:rowOff>
    </xdr:from>
    <xdr:to>
      <xdr:col>24</xdr:col>
      <xdr:colOff>1238251</xdr:colOff>
      <xdr:row>18</xdr:row>
      <xdr:rowOff>141088</xdr:rowOff>
    </xdr:to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46A429C7-F502-4B6C-B29C-E3FF12640BC4}"/>
            </a:ext>
          </a:extLst>
        </xdr:cNvPr>
        <xdr:cNvSpPr txBox="1"/>
      </xdr:nvSpPr>
      <xdr:spPr>
        <a:xfrm>
          <a:off x="14293853" y="3116943"/>
          <a:ext cx="812798" cy="3388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>
              <a:solidFill>
                <a:schemeClr val="accent6">
                  <a:lumMod val="75000"/>
                </a:schemeClr>
              </a:solidFill>
            </a:rPr>
            <a:t>縣市： </a:t>
          </a:r>
          <a:endParaRPr lang="zh-TW" altLang="en-US" sz="12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25400</xdr:colOff>
      <xdr:row>0</xdr:row>
      <xdr:rowOff>171450</xdr:rowOff>
    </xdr:from>
    <xdr:to>
      <xdr:col>4</xdr:col>
      <xdr:colOff>69850</xdr:colOff>
      <xdr:row>2</xdr:row>
      <xdr:rowOff>12700</xdr:rowOff>
    </xdr:to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6A0475B6-A828-4FCB-D736-0760B7B10F64}"/>
            </a:ext>
          </a:extLst>
        </xdr:cNvPr>
        <xdr:cNvSpPr txBox="1"/>
      </xdr:nvSpPr>
      <xdr:spPr>
        <a:xfrm>
          <a:off x="1701800" y="171450"/>
          <a:ext cx="755650" cy="209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900"/>
            <a:t>點擊以更新</a:t>
          </a:r>
          <a:endParaRPr lang="zh-TW" altLang="en-US" sz="9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107.890231712961" createdVersion="5" refreshedVersion="8" minRefreshableVersion="3" recordCount="200" xr:uid="{9DBC9E6A-E531-4DC7-ADCB-8B74B091F6FC}">
  <cacheSource type="worksheet">
    <worksheetSource name="source_data"/>
  </cacheSource>
  <cacheFields count="19">
    <cacheField name="物業名稱" numFmtId="0">
      <sharedItems/>
    </cacheField>
    <cacheField name="物業類型" numFmtId="0">
      <sharedItems/>
    </cacheField>
    <cacheField name="坪數" numFmtId="0">
      <sharedItems containsSemiMixedTypes="0" containsString="0" containsNumber="1" minValue="4.5999999999999996" maxValue="215.67"/>
    </cacheField>
    <cacheField name="樓層" numFmtId="0">
      <sharedItems/>
    </cacheField>
    <cacheField name="格局" numFmtId="0">
      <sharedItems/>
    </cacheField>
    <cacheField name="原始地址" numFmtId="0">
      <sharedItems/>
    </cacheField>
    <cacheField name="租金(月)" numFmtId="0">
      <sharedItems/>
    </cacheField>
    <cacheField name="實際樓層" numFmtId="0">
      <sharedItems/>
    </cacheField>
    <cacheField name="最高樓層" numFmtId="0">
      <sharedItems/>
    </cacheField>
    <cacheField name="房" numFmtId="0">
      <sharedItems containsMixedTypes="1" containsNumber="1" containsInteger="1" minValue="1" maxValue="15" count="14">
        <n v="3"/>
        <n v="8"/>
        <n v="4"/>
        <n v="2"/>
        <n v="1"/>
        <n v="5"/>
        <n v="6"/>
        <s v=""/>
        <n v="7" u="1"/>
        <n v="10" u="1"/>
        <n v="11" u="1"/>
        <n v="15" u="1"/>
        <n v="9" u="1"/>
        <n v="12" u="1"/>
      </sharedItems>
    </cacheField>
    <cacheField name="廳" numFmtId="0">
      <sharedItems containsMixedTypes="1" containsNumber="1" containsInteger="1" minValue="1" maxValue="3"/>
    </cacheField>
    <cacheField name="衛" numFmtId="0">
      <sharedItems containsMixedTypes="1" containsNumber="1" containsInteger="1" minValue="1" maxValue="9"/>
    </cacheField>
    <cacheField name="標準地址" numFmtId="0">
      <sharedItems/>
    </cacheField>
    <cacheField name="縣市" numFmtId="0">
      <sharedItems count="14">
        <s v="台北市"/>
        <s v="台南市"/>
        <s v="台中市"/>
        <s v="桃園市"/>
        <s v="高雄市"/>
        <s v="新北市"/>
        <s v="新竹縣"/>
        <s v="新竹市"/>
        <s v="彰化縣" u="1"/>
        <s v="花蓮縣" u="1"/>
        <s v="基隆市" u="1"/>
        <s v="台東縣" u="1"/>
        <s v="苗栗縣" u="1"/>
        <s v="宜蘭縣" u="1"/>
      </sharedItems>
    </cacheField>
    <cacheField name="租金" numFmtId="0">
      <sharedItems containsSemiMixedTypes="0" containsString="0" containsNumber="1" containsInteger="1" minValue="6000" maxValue="150000"/>
    </cacheField>
    <cacheField name="區" numFmtId="0">
      <sharedItems containsMixedTypes="1" containsNumber="1" containsInteger="1" minValue="0" maxValue="0" count="4">
        <s v="北部"/>
        <s v="南部"/>
        <s v="中部"/>
        <n v="0" u="1"/>
      </sharedItems>
    </cacheField>
    <cacheField name="坪數分級" numFmtId="0">
      <sharedItems count="3">
        <s v="大坪數"/>
        <s v="中坪數"/>
        <s v="小坪數"/>
      </sharedItems>
    </cacheField>
    <cacheField name="樓層分級" numFmtId="0">
      <sharedItems containsMixedTypes="1" containsNumber="1" containsInteger="1" minValue="10" maxValue="90" count="6">
        <n v="20"/>
        <n v="10"/>
        <n v="30"/>
        <n v="40"/>
        <e v="#VALUE!"/>
        <n v="90" u="1"/>
      </sharedItems>
    </cacheField>
    <cacheField name="一坪平均租金" numFmtId="0" formula="租金/坪數" databaseField="0"/>
  </cacheFields>
  <extLst>
    <ext xmlns:x14="http://schemas.microsoft.com/office/spreadsheetml/2009/9/main" uri="{725AE2AE-9491-48be-B2B4-4EB974FC3084}">
      <x14:pivotCacheDefinition pivotCacheId="188097802"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s v="元利公館河景三房車位  "/>
    <s v="成屋"/>
    <n v="51.93"/>
    <s v="12/15樓"/>
    <s v="3房2廳2衛 "/>
    <s v="台北市文山區溪洲街  "/>
    <s v="68,000元/月"/>
    <s v="12"/>
    <s v="15"/>
    <x v="0"/>
    <n v="2"/>
    <n v="2"/>
    <s v="台北市文山區溪洲街  "/>
    <x v="0"/>
    <n v="68000"/>
    <x v="0"/>
    <x v="0"/>
    <x v="0"/>
  </r>
  <r>
    <s v="近海安路面寬多功能住宅  "/>
    <s v="成屋"/>
    <n v="107"/>
    <s v="1-2/5樓"/>
    <s v="8房2廳9衛(含加蓋 4房4衛) "/>
    <s v="台南市北區海安路三段  "/>
    <s v="75,000元/月"/>
    <s v="1-2"/>
    <s v="5"/>
    <x v="1"/>
    <n v="2"/>
    <n v="9"/>
    <s v="台南市北區海安路三段  "/>
    <x v="1"/>
    <n v="75000"/>
    <x v="1"/>
    <x v="0"/>
    <x v="1"/>
  </r>
  <r>
    <s v="文心大地四房附平車  "/>
    <s v="成屋"/>
    <n v="42.8"/>
    <s v="8/14樓"/>
    <s v="4房2廳2衛 "/>
    <s v="台中市南區文心南路  "/>
    <s v="26,000元/月"/>
    <s v="8"/>
    <s v="14"/>
    <x v="2"/>
    <n v="2"/>
    <n v="2"/>
    <s v="台中市南區文心南路  "/>
    <x v="2"/>
    <n v="26000"/>
    <x v="2"/>
    <x v="0"/>
    <x v="0"/>
  </r>
  <r>
    <s v="新潤翡麗２房車位  "/>
    <s v="成屋"/>
    <n v="31.79"/>
    <s v="14/24樓"/>
    <s v="2房2廳1衛 "/>
    <s v="桃園市龜山區華亞三路  "/>
    <s v="26,000元/月"/>
    <s v="14"/>
    <s v="24"/>
    <x v="3"/>
    <n v="2"/>
    <n v="1"/>
    <s v="桃園市龜山區華亞三路  "/>
    <x v="3"/>
    <n v="26000"/>
    <x v="0"/>
    <x v="0"/>
    <x v="2"/>
  </r>
  <r>
    <s v="可寵可租補京城新世界２房  "/>
    <s v="成屋"/>
    <n v="25.65"/>
    <s v="13/29樓"/>
    <s v="2房1廳2衛 "/>
    <s v="高雄市前鎮區一心二路  "/>
    <s v="24,000元/月"/>
    <s v="13"/>
    <s v="29"/>
    <x v="3"/>
    <n v="1"/>
    <n v="2"/>
    <s v="高雄市前鎮區一心二路  "/>
    <x v="4"/>
    <n v="24000"/>
    <x v="1"/>
    <x v="1"/>
    <x v="2"/>
  </r>
  <r>
    <s v="誠意出租公寓四樓  "/>
    <s v="成屋"/>
    <n v="35.72"/>
    <s v="4/5樓"/>
    <s v="3房2廳2衛 "/>
    <s v="新北市新店區安康路二段  "/>
    <s v="23,000元/月"/>
    <s v="4"/>
    <s v="5"/>
    <x v="0"/>
    <n v="2"/>
    <n v="2"/>
    <s v="新北市新店區安康路二段  "/>
    <x v="5"/>
    <n v="23000"/>
    <x v="0"/>
    <x v="0"/>
    <x v="1"/>
  </r>
  <r>
    <s v="永安街二樓  "/>
    <s v="成屋"/>
    <n v="27.4"/>
    <s v="2/4樓"/>
    <s v="3房2廳1衛 "/>
    <s v="台北市文山區永安街  "/>
    <s v="25,000元/月"/>
    <s v="2"/>
    <s v="4"/>
    <x v="0"/>
    <n v="2"/>
    <n v="1"/>
    <s v="台北市文山區永安街  "/>
    <x v="0"/>
    <n v="25000"/>
    <x v="0"/>
    <x v="1"/>
    <x v="1"/>
  </r>
  <r>
    <s v="台北灣採光高樓３房車位  "/>
    <s v="成屋"/>
    <n v="51.04"/>
    <s v="16/17樓"/>
    <s v="3房2廳2衛 "/>
    <s v="台北灣 / 新北市淡水區新民街一段  "/>
    <s v="30,000元/月"/>
    <s v="16"/>
    <s v="17"/>
    <x v="0"/>
    <n v="2"/>
    <n v="2"/>
    <s v=" 新北市淡水區新民街一段  "/>
    <x v="5"/>
    <n v="30000"/>
    <x v="0"/>
    <x v="0"/>
    <x v="0"/>
  </r>
  <r>
    <s v="可租補、設籍芝園美裝３房  "/>
    <s v="成屋"/>
    <n v="59.96"/>
    <s v="4-5/5樓"/>
    <s v="4房2廳2衛(含加蓋 1房) "/>
    <s v="台北市士林區德行東路  "/>
    <s v="45,000元/月"/>
    <s v="4-5"/>
    <s v="5"/>
    <x v="2"/>
    <n v="2"/>
    <n v="2"/>
    <s v="台北市士林區德行東路  "/>
    <x v="0"/>
    <n v="45000"/>
    <x v="0"/>
    <x v="0"/>
    <x v="1"/>
  </r>
  <r>
    <s v="綠雅圖高樓兩房平面車位  "/>
    <s v="成屋"/>
    <n v="35.07"/>
    <s v="14/15樓"/>
    <s v="2房2廳1衛 "/>
    <s v="台中市太平區環中東路三段  "/>
    <s v="28,500元/月"/>
    <s v="14"/>
    <s v="15"/>
    <x v="3"/>
    <n v="2"/>
    <n v="1"/>
    <s v="台中市太平區環中東路三段  "/>
    <x v="2"/>
    <n v="28500"/>
    <x v="2"/>
    <x v="0"/>
    <x v="0"/>
  </r>
  <r>
    <s v="可租補魔術空間漂亮美屋  "/>
    <s v="成屋"/>
    <n v="21.07"/>
    <s v="7/11樓"/>
    <s v="2房2廳2衛(含加蓋 1房1衛) "/>
    <s v="台中市北屯區軍福十三路  "/>
    <s v="18,800元/月"/>
    <s v="7"/>
    <s v="11"/>
    <x v="3"/>
    <n v="2"/>
    <n v="2"/>
    <s v="台中市北屯區軍福十三路  "/>
    <x v="2"/>
    <n v="18800"/>
    <x v="2"/>
    <x v="1"/>
    <x v="0"/>
  </r>
  <r>
    <s v="音樂河三房平車有傢俱  "/>
    <s v="成屋"/>
    <n v="41.87"/>
    <s v="21/22樓"/>
    <s v="3房2廳2衛 "/>
    <s v="高雄市橋頭區橋都路  "/>
    <s v="23,000元/月"/>
    <s v="21"/>
    <s v="22"/>
    <x v="0"/>
    <n v="2"/>
    <n v="2"/>
    <s v="高雄市橋頭區橋都路  "/>
    <x v="4"/>
    <n v="23000"/>
    <x v="1"/>
    <x v="0"/>
    <x v="2"/>
  </r>
  <r>
    <s v="樟樹面靜巷電梯３房  "/>
    <s v="成屋"/>
    <n v="27.61"/>
    <s v="5/7樓"/>
    <s v="3房2廳1衛 "/>
    <s v="新北市汐止區樟樹一路  "/>
    <s v="25,000元/月"/>
    <s v="5"/>
    <s v="7"/>
    <x v="0"/>
    <n v="2"/>
    <n v="1"/>
    <s v="新北市汐止區樟樹一路  "/>
    <x v="5"/>
    <n v="25000"/>
    <x v="0"/>
    <x v="1"/>
    <x v="1"/>
  </r>
  <r>
    <s v="建工商圈超讚巷透  "/>
    <s v="成屋"/>
    <n v="20.32"/>
    <s v="1-2/1樓"/>
    <s v="4房2廳2衛(含加蓋 2房) "/>
    <s v="高雄市三民區大豐二路  "/>
    <s v="16,000元/月"/>
    <s v="1-2"/>
    <s v="1"/>
    <x v="2"/>
    <n v="2"/>
    <n v="2"/>
    <s v="高雄市三民區大豐二路  "/>
    <x v="4"/>
    <n v="16000"/>
    <x v="1"/>
    <x v="1"/>
    <x v="1"/>
  </r>
  <r>
    <s v="可租補★挑高精緻美宅  "/>
    <s v="成屋"/>
    <n v="14.26"/>
    <s v="2/7樓"/>
    <s v="3房1廳1衛(含加蓋 2房) "/>
    <s v="台北市信義區吳興街  "/>
    <s v="35,000元/月"/>
    <s v="2"/>
    <s v="7"/>
    <x v="0"/>
    <n v="1"/>
    <n v="1"/>
    <s v="台北市信義區吳興街  "/>
    <x v="0"/>
    <n v="35000"/>
    <x v="0"/>
    <x v="2"/>
    <x v="1"/>
  </r>
  <r>
    <s v="惠文國小學區三房歡迎承租  "/>
    <s v="成屋"/>
    <n v="34.06"/>
    <s v="11/16樓"/>
    <s v="3房2廳2衛 "/>
    <s v="台中市南屯區大業路  "/>
    <s v="23,000元/月"/>
    <s v="11"/>
    <s v="16"/>
    <x v="0"/>
    <n v="2"/>
    <n v="2"/>
    <s v="台中市南屯區大業路  "/>
    <x v="2"/>
    <n v="23000"/>
    <x v="2"/>
    <x v="0"/>
    <x v="0"/>
  </r>
  <r>
    <s v="近漢神可寵三房車位  "/>
    <s v="成屋"/>
    <n v="31.43"/>
    <s v="5/7樓"/>
    <s v="3房2廳2衛 "/>
    <s v="台中市北屯區松竹路二段  "/>
    <s v="19,000元/月"/>
    <s v="5"/>
    <s v="7"/>
    <x v="0"/>
    <n v="2"/>
    <n v="2"/>
    <s v="台中市北屯區松竹路二段  "/>
    <x v="2"/>
    <n v="19000"/>
    <x v="2"/>
    <x v="0"/>
    <x v="1"/>
  </r>
  <r>
    <s v="（新）北區三房平車附家具  "/>
    <s v="成屋"/>
    <n v="46.56"/>
    <s v="14/24樓"/>
    <s v="3房2廳2衛 "/>
    <s v="台中市北區進化路  "/>
    <s v="28,000元/月"/>
    <s v="14"/>
    <s v="24"/>
    <x v="0"/>
    <n v="2"/>
    <n v="2"/>
    <s v="台中市北區進化路  "/>
    <x v="2"/>
    <n v="28000"/>
    <x v="2"/>
    <x v="0"/>
    <x v="2"/>
  </r>
  <r>
    <s v="２０２０三房車位傢電配置  "/>
    <s v="成屋"/>
    <n v="46.34"/>
    <s v="3/15樓"/>
    <s v="3房2廳2衛 "/>
    <s v="台中市北屯區環太東路  "/>
    <s v="31,000元/月"/>
    <s v="3"/>
    <s v="15"/>
    <x v="0"/>
    <n v="2"/>
    <n v="2"/>
    <s v="台中市北屯區環太東路  "/>
    <x v="2"/>
    <n v="31000"/>
    <x v="2"/>
    <x v="0"/>
    <x v="0"/>
  </r>
  <r>
    <s v="總太青境２房平車  "/>
    <s v="成屋"/>
    <n v="45.67"/>
    <s v="12/14樓"/>
    <s v="2房2廳2衛 "/>
    <s v="台中市北屯區環太東路  "/>
    <s v="25,000元/月"/>
    <s v="12"/>
    <s v="14"/>
    <x v="3"/>
    <n v="2"/>
    <n v="2"/>
    <s v="台中市北屯區環太東路  "/>
    <x v="2"/>
    <n v="25000"/>
    <x v="2"/>
    <x v="0"/>
    <x v="0"/>
  </r>
  <r>
    <s v="遠企電梯精美套房  "/>
    <s v="成屋"/>
    <n v="9"/>
    <s v="2/7樓"/>
    <s v="1房1廳1衛 "/>
    <s v="台北市大安區樂業街  "/>
    <s v="30,000元/月"/>
    <s v="2"/>
    <s v="7"/>
    <x v="4"/>
    <n v="1"/>
    <n v="1"/>
    <s v="台北市大安區樂業街  "/>
    <x v="0"/>
    <n v="30000"/>
    <x v="0"/>
    <x v="2"/>
    <x v="1"/>
  </r>
  <r>
    <s v="近五權車站美套房  "/>
    <s v="成屋"/>
    <n v="7.99"/>
    <s v="7/19樓"/>
    <s v="1房1衛 "/>
    <s v="城市經典 / 台中市西區三民路一段  "/>
    <s v="8,500元/月"/>
    <s v="7"/>
    <s v="19"/>
    <x v="4"/>
    <s v=""/>
    <n v="1"/>
    <s v=" 台中市西區三民路一段  "/>
    <x v="2"/>
    <n v="8500"/>
    <x v="2"/>
    <x v="2"/>
    <x v="0"/>
  </r>
  <r>
    <s v="近捷運站南屯兩房車位  "/>
    <s v="成屋"/>
    <n v="28.4"/>
    <s v="15/31樓"/>
    <s v="2房2廳1衛 "/>
    <s v="台中市南屯區文心南路  "/>
    <s v="25,000元/月"/>
    <s v="15"/>
    <s v="31"/>
    <x v="3"/>
    <n v="2"/>
    <n v="1"/>
    <s v="台中市南屯區文心南路  "/>
    <x v="2"/>
    <n v="25000"/>
    <x v="2"/>
    <x v="1"/>
    <x v="3"/>
  </r>
  <r>
    <s v="露台捷運復興崗美裝２房  "/>
    <s v="成屋"/>
    <n v="37.03"/>
    <s v="2/10樓"/>
    <s v="2房2廳2衛1室 "/>
    <s v="台北市北投區稻香路  "/>
    <s v="35,000元/月"/>
    <s v="2"/>
    <s v="10"/>
    <x v="3"/>
    <n v="2"/>
    <n v="2"/>
    <s v="台北市北投區稻香路  "/>
    <x v="0"/>
    <n v="35000"/>
    <x v="0"/>
    <x v="0"/>
    <x v="1"/>
  </r>
  <r>
    <s v="近捷運電梯優質大套房  "/>
    <s v="成屋"/>
    <n v="12.55"/>
    <s v="2/7樓"/>
    <s v="1房1廳1衛 "/>
    <s v="台北市北投區泉源路  "/>
    <s v="22,000元/月"/>
    <s v="2"/>
    <s v="7"/>
    <x v="4"/>
    <n v="1"/>
    <n v="1"/>
    <s v="台北市北投區泉源路  "/>
    <x v="0"/>
    <n v="22000"/>
    <x v="0"/>
    <x v="2"/>
    <x v="1"/>
  </r>
  <r>
    <s v="亞灣區ｘ三房有平車  "/>
    <s v="成屋"/>
    <n v="43.95"/>
    <s v="13/15樓"/>
    <s v="3房2廳2衛 "/>
    <s v="高雄市苓雅區三多四路  "/>
    <s v="32,000元/月"/>
    <s v="13"/>
    <s v="15"/>
    <x v="0"/>
    <n v="2"/>
    <n v="2"/>
    <s v="高雄市苓雅區三多四路  "/>
    <x v="4"/>
    <n v="32000"/>
    <x v="1"/>
    <x v="0"/>
    <x v="0"/>
  </r>
  <r>
    <s v="北區近二中優質套房  "/>
    <s v="成屋"/>
    <n v="4.5999999999999996"/>
    <s v="5/5樓"/>
    <s v="1房1衛 "/>
    <s v="台中市北區英士路  "/>
    <s v="6,500元/月"/>
    <s v="5"/>
    <s v="5"/>
    <x v="4"/>
    <s v=""/>
    <n v="1"/>
    <s v="台中市北區英士路  "/>
    <x v="2"/>
    <n v="6500"/>
    <x v="2"/>
    <x v="2"/>
    <x v="1"/>
  </r>
  <r>
    <s v="祥潤峰邑電梯大樓  "/>
    <s v="成屋"/>
    <n v="17.100000000000001"/>
    <s v="4/15樓"/>
    <s v="1房1廳1衛 "/>
    <s v="新北市五股區成泰路三段  "/>
    <s v="20,000元/月"/>
    <s v="4"/>
    <s v="15"/>
    <x v="4"/>
    <n v="1"/>
    <n v="1"/>
    <s v="新北市五股區成泰路三段  "/>
    <x v="5"/>
    <n v="20000"/>
    <x v="0"/>
    <x v="1"/>
    <x v="0"/>
  </r>
  <r>
    <s v="裝潢家具劍橋２房  "/>
    <s v="成屋"/>
    <n v="32.72"/>
    <s v="2/19樓"/>
    <s v="2房2廳1衛 "/>
    <s v="新北市三峽區學勤路  "/>
    <s v="25,000元/月"/>
    <s v="2"/>
    <s v="19"/>
    <x v="3"/>
    <n v="2"/>
    <n v="1"/>
    <s v="新北市三峽區學勤路  "/>
    <x v="5"/>
    <n v="25000"/>
    <x v="0"/>
    <x v="0"/>
    <x v="0"/>
  </r>
  <r>
    <s v="北區漢口商圈三樓公寓  "/>
    <s v="成屋"/>
    <n v="26.03"/>
    <s v="3/5樓"/>
    <s v="3房2廳2衛 "/>
    <s v="台中市北區山西路二段  "/>
    <s v="18,500元/月"/>
    <s v="3"/>
    <s v="5"/>
    <x v="0"/>
    <n v="2"/>
    <n v="2"/>
    <s v="台中市北區山西路二段  "/>
    <x v="2"/>
    <n v="18500"/>
    <x v="2"/>
    <x v="1"/>
    <x v="1"/>
  </r>
  <r>
    <s v="中都樹禾苑３房平車  "/>
    <s v="成屋"/>
    <n v="44.94"/>
    <s v="7/24樓"/>
    <s v="3房2廳2衛 "/>
    <s v="高雄市三民區美都路  "/>
    <s v="29,800元/月"/>
    <s v="7"/>
    <s v="24"/>
    <x v="0"/>
    <n v="2"/>
    <n v="2"/>
    <s v="高雄市三民區美都路  "/>
    <x v="4"/>
    <n v="29800"/>
    <x v="1"/>
    <x v="0"/>
    <x v="2"/>
  </r>
  <r>
    <s v="中興大學舒適三房車位  "/>
    <s v="成屋"/>
    <n v="44.91"/>
    <s v="3/13樓"/>
    <s v="3房2廳2衛 "/>
    <s v="台中市南區仁義街  "/>
    <s v="33,000元/月"/>
    <s v="3"/>
    <s v="13"/>
    <x v="0"/>
    <n v="2"/>
    <n v="2"/>
    <s v="台中市南區仁義街  "/>
    <x v="2"/>
    <n v="33000"/>
    <x v="2"/>
    <x v="0"/>
    <x v="0"/>
  </r>
  <r>
    <s v="南科全新未住三房平車  "/>
    <s v="成屋"/>
    <n v="35.58"/>
    <s v="2/5樓"/>
    <s v="3房2廳2衛 "/>
    <s v="台南市善化區東勢寮  "/>
    <s v="19,000元/月"/>
    <s v="2"/>
    <s v="5"/>
    <x v="0"/>
    <n v="2"/>
    <n v="2"/>
    <s v="台南市善化區東勢寮  "/>
    <x v="1"/>
    <n v="19000"/>
    <x v="1"/>
    <x v="0"/>
    <x v="1"/>
  </r>
  <r>
    <s v="三鐵美裝潢兩房雙衛平車  "/>
    <s v="成屋"/>
    <n v="36.270000000000003"/>
    <s v="6/15樓"/>
    <s v="2房2廳2衛 "/>
    <s v="高雄市左營區文川路  "/>
    <s v="26,000元/月"/>
    <s v="6"/>
    <s v="15"/>
    <x v="3"/>
    <n v="2"/>
    <n v="2"/>
    <s v="高雄市左營區文川路  "/>
    <x v="4"/>
    <n v="26000"/>
    <x v="1"/>
    <x v="0"/>
    <x v="0"/>
  </r>
  <r>
    <s v="近中科台積電全新套房２Ａ  "/>
    <s v="成屋"/>
    <n v="5.7"/>
    <s v="2/4樓"/>
    <s v="1房1廳1衛 "/>
    <s v="台中市大雅區中和六路  "/>
    <s v="12,000元/月"/>
    <s v="2"/>
    <s v="4"/>
    <x v="4"/>
    <n v="1"/>
    <n v="1"/>
    <s v="台中市大雅區中和六路  "/>
    <x v="2"/>
    <n v="12000"/>
    <x v="2"/>
    <x v="2"/>
    <x v="1"/>
  </r>
  <r>
    <s v="近中科台積電全新套房２Ｂ  "/>
    <s v="成屋"/>
    <n v="5.7"/>
    <s v="2/4樓"/>
    <s v="1房1廳1衛 "/>
    <s v="台中市大雅區中和六路  "/>
    <s v="12,000元/月"/>
    <s v="2"/>
    <s v="4"/>
    <x v="4"/>
    <n v="1"/>
    <n v="1"/>
    <s v="台中市大雅區中和六路  "/>
    <x v="2"/>
    <n v="12000"/>
    <x v="2"/>
    <x v="2"/>
    <x v="1"/>
  </r>
  <r>
    <s v="近中科台積電全新套房２Ｄ  "/>
    <s v="成屋"/>
    <n v="5.7"/>
    <s v="2/4樓"/>
    <s v="1房1廳1衛 "/>
    <s v="台中市大雅區中和六路  "/>
    <s v="12,000元/月"/>
    <s v="2"/>
    <s v="4"/>
    <x v="4"/>
    <n v="1"/>
    <n v="1"/>
    <s v="台中市大雅區中和六路  "/>
    <x v="2"/>
    <n v="12000"/>
    <x v="2"/>
    <x v="2"/>
    <x v="1"/>
  </r>
  <r>
    <s v="近中科台積電全新套房４Ｃ  "/>
    <s v="成屋"/>
    <n v="5.7"/>
    <s v="4/4樓"/>
    <s v="1房1廳1衛 "/>
    <s v="台中市大雅區中和六路  "/>
    <s v="12,000元/月"/>
    <s v="4"/>
    <s v="4"/>
    <x v="4"/>
    <n v="1"/>
    <n v="1"/>
    <s v="台中市大雅區中和六路  "/>
    <x v="2"/>
    <n v="12000"/>
    <x v="2"/>
    <x v="2"/>
    <x v="1"/>
  </r>
  <r>
    <s v="近中科台積電全新套房４Ｄ  "/>
    <s v="成屋"/>
    <n v="5.7"/>
    <s v="4/4樓"/>
    <s v="1房1廳1衛 "/>
    <s v="台中市大雅區中和六路  "/>
    <s v="12,000元/月"/>
    <s v="4"/>
    <s v="4"/>
    <x v="4"/>
    <n v="1"/>
    <n v="1"/>
    <s v="台中市大雅區中和六路  "/>
    <x v="2"/>
    <n v="12000"/>
    <x v="2"/>
    <x v="2"/>
    <x v="1"/>
  </r>
  <r>
    <s v="禾寅禾水岸水岸視野美屋  "/>
    <s v="成屋"/>
    <n v="46.18"/>
    <s v="4/14樓"/>
    <s v="2房2廳1衛 "/>
    <s v="新竹縣竹北市興隆路五段  "/>
    <s v="30,000元/月"/>
    <s v="4"/>
    <s v="14"/>
    <x v="3"/>
    <n v="2"/>
    <n v="1"/>
    <s v="新竹縣竹北市興隆路五段  "/>
    <x v="6"/>
    <n v="30000"/>
    <x v="0"/>
    <x v="0"/>
    <x v="0"/>
  </r>
  <r>
    <s v="富宇水花園美三房  "/>
    <s v="成屋"/>
    <n v="47.36"/>
    <s v="2/12樓"/>
    <s v="3房2廳2衛 "/>
    <s v="新竹縣竹北市隘口六街  "/>
    <s v="30,000元/月"/>
    <s v="2"/>
    <s v="12"/>
    <x v="0"/>
    <n v="2"/>
    <n v="2"/>
    <s v="新竹縣竹北市隘口六街  "/>
    <x v="6"/>
    <n v="30000"/>
    <x v="0"/>
    <x v="0"/>
    <x v="0"/>
  </r>
  <r>
    <s v="恆上海悦精美景觀美宅平車  "/>
    <s v="成屋"/>
    <n v="38.83"/>
    <s v="10/15樓"/>
    <s v="1房2廳2衛1室 "/>
    <s v="高雄市前鎮區中華五路  "/>
    <s v="25,000元/月"/>
    <s v="10"/>
    <s v="15"/>
    <x v="4"/>
    <n v="2"/>
    <n v="2"/>
    <s v="高雄市前鎮區中華五路  "/>
    <x v="4"/>
    <n v="25000"/>
    <x v="1"/>
    <x v="0"/>
    <x v="0"/>
  </r>
  <r>
    <s v="文華國小三房美屋  "/>
    <s v="成屋"/>
    <n v="35.81"/>
    <s v="4/5樓"/>
    <s v="3房2廳2衛 "/>
    <s v="桃園市龜山區文東五街  "/>
    <s v="32,000元/月"/>
    <s v="4"/>
    <s v="5"/>
    <x v="0"/>
    <n v="2"/>
    <n v="2"/>
    <s v="桃園市龜山區文東五街  "/>
    <x v="3"/>
    <n v="32000"/>
    <x v="0"/>
    <x v="0"/>
    <x v="1"/>
  </r>
  <r>
    <s v="可租補！新環境裝潢美套房  "/>
    <s v="成屋"/>
    <n v="9.8800000000000008"/>
    <s v="5/5樓"/>
    <s v="1房1衛 "/>
    <s v="新北市淡水區學府路  "/>
    <s v="10,500元/月"/>
    <s v="5"/>
    <s v="5"/>
    <x v="4"/>
    <s v=""/>
    <n v="1"/>
    <s v="新北市淡水區學府路  "/>
    <x v="5"/>
    <n v="10500"/>
    <x v="0"/>
    <x v="2"/>
    <x v="1"/>
  </r>
  <r>
    <s v="熊貓天下高樓三房請看這間  "/>
    <s v="成屋"/>
    <n v="32.21"/>
    <s v="9/16樓"/>
    <s v="3房2廳2衛 "/>
    <s v="熊貓天下 / 台中市西屯區西屯路二段  "/>
    <s v="23,000元/月"/>
    <s v="9"/>
    <s v="16"/>
    <x v="0"/>
    <n v="2"/>
    <n v="2"/>
    <s v=" 台中市西屯區西屯路二段  "/>
    <x v="2"/>
    <n v="23000"/>
    <x v="2"/>
    <x v="0"/>
    <x v="0"/>
  </r>
  <r>
    <s v="［專任］：文心１高樓兩房  "/>
    <s v="成屋"/>
    <n v="26.79"/>
    <s v="19/22樓"/>
    <s v="2房1廳1衛 "/>
    <s v="台中市北屯區文心路四段  "/>
    <s v="26,000元/月"/>
    <s v="19"/>
    <s v="22"/>
    <x v="3"/>
    <n v="1"/>
    <n v="1"/>
    <s v="台中市北屯區文心路四段  "/>
    <x v="2"/>
    <n v="26000"/>
    <x v="2"/>
    <x v="1"/>
    <x v="2"/>
  </r>
  <r>
    <s v="紅透天稀有釋出  "/>
    <s v="成屋"/>
    <n v="79.72"/>
    <s v="B1-4/4樓"/>
    <s v="4房3廳3衛1室 "/>
    <s v="桃園市中壢區榮安七街  "/>
    <s v="35,000元/月"/>
    <s v="B1-4"/>
    <s v="4"/>
    <x v="2"/>
    <n v="3"/>
    <n v="3"/>
    <s v="桃園市中壢區榮安七街  "/>
    <x v="3"/>
    <n v="35000"/>
    <x v="0"/>
    <x v="0"/>
    <x v="1"/>
  </r>
  <r>
    <s v="城揚大家精美２房車位  "/>
    <s v="成屋"/>
    <n v="23.66"/>
    <s v="3/15樓"/>
    <s v="2房1廳1衛 "/>
    <s v="高雄市鳳山區福誠五街  "/>
    <s v="25,000元/月"/>
    <s v="3"/>
    <s v="15"/>
    <x v="3"/>
    <n v="1"/>
    <n v="1"/>
    <s v="高雄市鳳山區福誠五街  "/>
    <x v="4"/>
    <n v="25000"/>
    <x v="1"/>
    <x v="1"/>
    <x v="0"/>
  </r>
  <r>
    <s v="城揚大家高樓２房車位  "/>
    <s v="成屋"/>
    <n v="23.84"/>
    <s v="9/15樓"/>
    <s v="2房1廳1衛 "/>
    <s v="高雄市鳳山區福誠五街  "/>
    <s v="26,000元/月"/>
    <s v="9"/>
    <s v="15"/>
    <x v="3"/>
    <n v="1"/>
    <n v="1"/>
    <s v="高雄市鳳山區福誠五街  "/>
    <x v="4"/>
    <n v="26000"/>
    <x v="1"/>
    <x v="1"/>
    <x v="0"/>
  </r>
  <r>
    <s v="文化新世紀大兩房平車  "/>
    <s v="成屋"/>
    <n v="52.66"/>
    <s v="15/20樓"/>
    <s v="2房2廳2衛 "/>
    <s v="台南市東區中華東路三段  "/>
    <s v="28,000元/月"/>
    <s v="15"/>
    <s v="20"/>
    <x v="3"/>
    <n v="2"/>
    <n v="2"/>
    <s v="台南市東區中華東路三段  "/>
    <x v="1"/>
    <n v="28000"/>
    <x v="1"/>
    <x v="0"/>
    <x v="0"/>
  </r>
  <r>
    <s v="關新大三房  "/>
    <s v="成屋"/>
    <n v="49.43"/>
    <s v="12/15樓"/>
    <s v="3房2廳2衛 "/>
    <s v="新竹市新竹市新莊街  "/>
    <s v="31,000元/月"/>
    <s v="12"/>
    <s v="15"/>
    <x v="0"/>
    <n v="2"/>
    <n v="2"/>
    <s v="新竹市新竹市新莊街  "/>
    <x v="7"/>
    <n v="31000"/>
    <x v="0"/>
    <x v="0"/>
    <x v="0"/>
  </r>
  <r>
    <s v="天祥２樓裝潢三房  "/>
    <s v="成屋"/>
    <n v="21.31"/>
    <s v="2/5樓"/>
    <s v="3房2廳2衛 "/>
    <s v="新北市新莊區天祥街  "/>
    <s v="24,000元/月"/>
    <s v="2"/>
    <s v="5"/>
    <x v="0"/>
    <n v="2"/>
    <n v="2"/>
    <s v="新北市新莊區天祥街  "/>
    <x v="5"/>
    <n v="24000"/>
    <x v="0"/>
    <x v="1"/>
    <x v="1"/>
  </r>
  <r>
    <s v="健身公寓雅房Ｅ室  "/>
    <s v="成屋"/>
    <n v="6"/>
    <s v="4/5樓"/>
    <s v="1房 "/>
    <s v="高雄市三民區立忠路  "/>
    <s v="6,000元/月"/>
    <s v="4"/>
    <s v="5"/>
    <x v="4"/>
    <s v=""/>
    <s v=""/>
    <s v="高雄市三民區立忠路  "/>
    <x v="4"/>
    <n v="6000"/>
    <x v="1"/>
    <x v="2"/>
    <x v="1"/>
  </r>
  <r>
    <s v="健身公寓雅房Ｄ室  "/>
    <s v="成屋"/>
    <n v="6"/>
    <s v="4/5樓"/>
    <s v="1房 "/>
    <s v="高雄市三民區立忠路  "/>
    <s v="7,500元/月"/>
    <s v="4"/>
    <s v="5"/>
    <x v="4"/>
    <s v=""/>
    <s v=""/>
    <s v="高雄市三民區立忠路  "/>
    <x v="4"/>
    <n v="7500"/>
    <x v="1"/>
    <x v="2"/>
    <x v="1"/>
  </r>
  <r>
    <s v="健身公寓套房Ｂ室  "/>
    <s v="成屋"/>
    <n v="6"/>
    <s v="4/5樓"/>
    <s v="1房1衛 "/>
    <s v="高雄市三民區立忠路  "/>
    <s v="9,500元/月"/>
    <s v="4"/>
    <s v="5"/>
    <x v="4"/>
    <s v=""/>
    <n v="1"/>
    <s v="高雄市三民區立忠路  "/>
    <x v="4"/>
    <n v="9500"/>
    <x v="1"/>
    <x v="2"/>
    <x v="1"/>
  </r>
  <r>
    <s v="健身公寓套房Ａ室  "/>
    <s v="成屋"/>
    <n v="6"/>
    <s v="4/5樓"/>
    <s v="1房1衛 "/>
    <s v="高雄市三民區立忠路  "/>
    <s v="8,500元/月"/>
    <s v="4"/>
    <s v="5"/>
    <x v="4"/>
    <s v=""/>
    <n v="1"/>
    <s v="高雄市三民區立忠路  "/>
    <x v="4"/>
    <n v="8500"/>
    <x v="1"/>
    <x v="2"/>
    <x v="1"/>
  </r>
  <r>
    <s v="捷運Ａ３站富都匯精緻２房  "/>
    <s v="成屋"/>
    <n v="32.96"/>
    <s v="21/23樓"/>
    <s v="2房1廳1衛 "/>
    <s v="新北市新莊區中央路  "/>
    <s v="43,000元/月"/>
    <s v="21"/>
    <s v="23"/>
    <x v="3"/>
    <n v="1"/>
    <n v="1"/>
    <s v="新北市新莊區中央路  "/>
    <x v="5"/>
    <n v="43000"/>
    <x v="0"/>
    <x v="0"/>
    <x v="2"/>
  </r>
  <r>
    <s v="麗園道✦附家俱裝潢美套  "/>
    <s v="成屋"/>
    <n v="9.08"/>
    <s v="18/21樓"/>
    <s v="1房1廳1衛 "/>
    <s v="台中市北區忠太東路  "/>
    <s v="11,000元/月"/>
    <s v="18"/>
    <s v="21"/>
    <x v="4"/>
    <n v="1"/>
    <n v="1"/>
    <s v="台中市北區忠太東路  "/>
    <x v="2"/>
    <n v="11000"/>
    <x v="2"/>
    <x v="2"/>
    <x v="2"/>
  </r>
  <r>
    <s v="選＊三房平車．高樓裝潢戶  "/>
    <s v="成屋"/>
    <n v="47.77"/>
    <s v="21/27樓"/>
    <s v="3房2廳2衛 "/>
    <s v="台中市西屯區環中路三段  "/>
    <s v="40,000元/月"/>
    <s v="21"/>
    <s v="27"/>
    <x v="0"/>
    <n v="2"/>
    <n v="2"/>
    <s v="台中市西屯區環中路三段  "/>
    <x v="2"/>
    <n v="40000"/>
    <x v="2"/>
    <x v="0"/>
    <x v="2"/>
  </r>
  <r>
    <s v="海帝精美舒適套房  "/>
    <s v="成屋"/>
    <n v="15.66"/>
    <s v="6/8樓"/>
    <s v="1房1廳1衛 "/>
    <s v="新北市淡水區淡金路  "/>
    <s v="17,500元/月"/>
    <s v="6"/>
    <s v="8"/>
    <x v="4"/>
    <n v="1"/>
    <n v="1"/>
    <s v="新北市淡水區淡金路  "/>
    <x v="5"/>
    <n v="17500"/>
    <x v="0"/>
    <x v="1"/>
    <x v="1"/>
  </r>
  <r>
    <s v="淡江有約三房車位  "/>
    <s v="成屋"/>
    <n v="51.87"/>
    <s v="14/15樓"/>
    <s v="3房2廳2衛 "/>
    <s v="新北市淡水區淡金路一段  "/>
    <s v="28,500元/月"/>
    <s v="14"/>
    <s v="15"/>
    <x v="0"/>
    <n v="2"/>
    <n v="2"/>
    <s v="新北市淡水區淡金路一段  "/>
    <x v="5"/>
    <n v="28500"/>
    <x v="0"/>
    <x v="0"/>
    <x v="0"/>
  </r>
  <r>
    <s v="近捷運溫馨一房二廳首選  "/>
    <s v="成屋"/>
    <n v="15.16"/>
    <s v="3/4樓"/>
    <s v="1房2廳1衛 "/>
    <s v="新北市淡水區三民街  "/>
    <s v="13,000元/月"/>
    <s v="3"/>
    <s v="4"/>
    <x v="4"/>
    <n v="2"/>
    <n v="1"/>
    <s v="新北市淡水區三民街  "/>
    <x v="5"/>
    <n v="13000"/>
    <x v="0"/>
    <x v="1"/>
    <x v="1"/>
  </r>
  <r>
    <s v="珠海薇閣大空間美廈  "/>
    <s v="成屋"/>
    <n v="46.92"/>
    <s v="4/6樓"/>
    <s v="4房2廳2衛 "/>
    <s v="台北市北投區珠海路  "/>
    <s v="36,500元/月"/>
    <s v="4"/>
    <s v="6"/>
    <x v="2"/>
    <n v="2"/>
    <n v="2"/>
    <s v="台北市北投區珠海路  "/>
    <x v="0"/>
    <n v="36500"/>
    <x v="0"/>
    <x v="0"/>
    <x v="1"/>
  </r>
  <r>
    <s v="低樓層免爬高３房  "/>
    <s v="成屋"/>
    <n v="25.39"/>
    <s v="2/4樓"/>
    <s v="3房2廳1衛1室 "/>
    <s v="新北市板橋區田單街  "/>
    <s v="25,000元/月"/>
    <s v="2"/>
    <s v="4"/>
    <x v="0"/>
    <n v="2"/>
    <n v="1"/>
    <s v="新北市板橋區田單街  "/>
    <x v="5"/>
    <n v="25000"/>
    <x v="0"/>
    <x v="1"/>
    <x v="1"/>
  </r>
  <r>
    <s v="日健悅●兩房車位  "/>
    <s v="成屋"/>
    <n v="36.090000000000003"/>
    <s v="18/22樓"/>
    <s v="2房2廳1衛 "/>
    <s v="新北市三重區信義西街  "/>
    <s v="39,000元/月"/>
    <s v="18"/>
    <s v="22"/>
    <x v="3"/>
    <n v="2"/>
    <n v="1"/>
    <s v="新北市三重區信義西街  "/>
    <x v="5"/>
    <n v="39000"/>
    <x v="0"/>
    <x v="0"/>
    <x v="2"/>
  </r>
  <r>
    <s v="精銳全新未住三房平車  "/>
    <s v="成屋"/>
    <n v="45.56"/>
    <s v="6/13樓"/>
    <s v="3房2廳2衛 "/>
    <s v="台中市梧棲區文明街  "/>
    <s v="22,000元/月"/>
    <s v="6"/>
    <s v="13"/>
    <x v="0"/>
    <n v="2"/>
    <n v="2"/>
    <s v="台中市梧棲區文明街  "/>
    <x v="2"/>
    <n v="22000"/>
    <x v="2"/>
    <x v="0"/>
    <x v="0"/>
  </r>
  <r>
    <s v="凱悅一房附車位含管理費  "/>
    <s v="成屋"/>
    <n v="22.42"/>
    <s v="12/22樓"/>
    <s v="1房1廳1衛 "/>
    <s v="台中市西屯區國安一路  "/>
    <s v="22,000元/月"/>
    <s v="12"/>
    <s v="22"/>
    <x v="4"/>
    <n v="1"/>
    <n v="1"/>
    <s v="台中市西屯區國安一路  "/>
    <x v="2"/>
    <n v="22000"/>
    <x v="2"/>
    <x v="1"/>
    <x v="2"/>
  </r>
  <r>
    <s v="湖濱城１６Ｆ美兩房  "/>
    <s v="成屋"/>
    <n v="38.340000000000003"/>
    <s v="16/28樓"/>
    <s v="2房2廳1衛 "/>
    <s v="台中市東區進德路  "/>
    <s v="27,000元/月"/>
    <s v="16"/>
    <s v="28"/>
    <x v="3"/>
    <n v="2"/>
    <n v="1"/>
    <s v="台中市東區進德路  "/>
    <x v="2"/>
    <n v="27000"/>
    <x v="2"/>
    <x v="0"/>
    <x v="2"/>
  </r>
  <r>
    <s v="三木日光社區附傢俱兩房  "/>
    <s v="成屋"/>
    <n v="24.28"/>
    <s v="12/14樓"/>
    <s v="2房1廳1衛 "/>
    <s v="台中市北屯區遼寧路一段  "/>
    <s v="21,000元/月"/>
    <s v="12"/>
    <s v="14"/>
    <x v="3"/>
    <n v="1"/>
    <n v="1"/>
    <s v="台中市北屯區遼寧路一段  "/>
    <x v="2"/>
    <n v="21000"/>
    <x v="2"/>
    <x v="1"/>
    <x v="0"/>
  </r>
  <r>
    <s v="Ａ７富宇富御三房車位  "/>
    <s v="成屋"/>
    <n v="42.9"/>
    <s v="18/24樓"/>
    <s v="3房2廳2衛 "/>
    <s v="桃園市龜山區文禾路  "/>
    <s v="26,000元/月"/>
    <s v="18"/>
    <s v="24"/>
    <x v="0"/>
    <n v="2"/>
    <n v="2"/>
    <s v="桃園市龜山區文禾路  "/>
    <x v="3"/>
    <n v="26000"/>
    <x v="0"/>
    <x v="0"/>
    <x v="2"/>
  </r>
  <r>
    <s v="東園精緻美妝宅  "/>
    <s v="成屋"/>
    <n v="12.1"/>
    <s v="2/2樓"/>
    <s v="1房1廳1衛 "/>
    <s v="台北市萬華區東園街  "/>
    <s v="20,000元/月"/>
    <s v="2"/>
    <s v="2"/>
    <x v="4"/>
    <n v="1"/>
    <n v="1"/>
    <s v="台北市萬華區東園街  "/>
    <x v="0"/>
    <n v="20000"/>
    <x v="0"/>
    <x v="2"/>
    <x v="1"/>
  </r>
  <r>
    <s v="西門裝潢採光大房家具齊  "/>
    <s v="成屋"/>
    <n v="21.75"/>
    <s v="5/14樓"/>
    <s v="2房1廳1衛(含加蓋 1房) "/>
    <s v="台北市萬華區成都路  "/>
    <s v="37,800元/月"/>
    <s v="5"/>
    <s v="14"/>
    <x v="3"/>
    <n v="1"/>
    <n v="1"/>
    <s v="台北市萬華區成都路  "/>
    <x v="0"/>
    <n v="37800"/>
    <x v="0"/>
    <x v="1"/>
    <x v="0"/>
  </r>
  <r>
    <s v="勝美學搶手採光兩房平車  "/>
    <s v="成屋"/>
    <n v="34.340000000000003"/>
    <s v="17/18樓"/>
    <s v="2房2廳1衛 "/>
    <s v="台中市北區學士路  "/>
    <s v="28,000元/月"/>
    <s v="17"/>
    <s v="18"/>
    <x v="3"/>
    <n v="2"/>
    <n v="1"/>
    <s v="台中市北區學士路  "/>
    <x v="2"/>
    <n v="28000"/>
    <x v="2"/>
    <x v="0"/>
    <x v="0"/>
  </r>
  <r>
    <s v="微笑之心高樓邊間三房  "/>
    <s v="成屋"/>
    <n v="47.05"/>
    <s v="8/22樓"/>
    <s v="3房2廳2衛 "/>
    <s v="台中市北區育樂街  "/>
    <s v="42,000元/月"/>
    <s v="8"/>
    <s v="22"/>
    <x v="0"/>
    <n v="2"/>
    <n v="2"/>
    <s v="台中市北區育樂街  "/>
    <x v="2"/>
    <n v="42000"/>
    <x v="2"/>
    <x v="0"/>
    <x v="2"/>
  </r>
  <r>
    <s v="近大巨蛋免爬高方正二樓寓  "/>
    <s v="成屋"/>
    <n v="38.229999999999997"/>
    <s v="2/4樓"/>
    <s v="3房2廳2衛 "/>
    <s v="台北市松山區八德路四段  "/>
    <s v="40,000元/月"/>
    <s v="2"/>
    <s v="4"/>
    <x v="0"/>
    <n v="2"/>
    <n v="2"/>
    <s v="台北市松山區八德路四段  "/>
    <x v="0"/>
    <n v="40000"/>
    <x v="0"/>
    <x v="0"/>
    <x v="1"/>
  </r>
  <r>
    <s v="可租補～水湳二樓裝潢３房  "/>
    <s v="成屋"/>
    <n v="26.58"/>
    <s v="2/5樓"/>
    <s v="3房2廳2衛 "/>
    <s v="台中市北屯區中清路二段  "/>
    <s v="22,000元/月"/>
    <s v="2"/>
    <s v="5"/>
    <x v="0"/>
    <n v="2"/>
    <n v="2"/>
    <s v="台中市北屯區中清路二段  "/>
    <x v="2"/>
    <n v="22000"/>
    <x v="2"/>
    <x v="1"/>
    <x v="1"/>
  </r>
  <r>
    <s v="可租補～后庄北路透天別墅  "/>
    <s v="成屋"/>
    <n v="38.39"/>
    <s v="1-2/2樓"/>
    <s v="5房2廳2衛(含加蓋 2房) "/>
    <s v="台中市北屯區后庄北路  "/>
    <s v="33,000元/月"/>
    <s v="1-2"/>
    <s v="2"/>
    <x v="5"/>
    <n v="2"/>
    <n v="2"/>
    <s v="台中市北屯區后庄北路  "/>
    <x v="2"/>
    <n v="33000"/>
    <x v="2"/>
    <x v="0"/>
    <x v="1"/>
  </r>
  <r>
    <s v="西區精美四房  "/>
    <s v="成屋"/>
    <n v="33.89"/>
    <s v="5/5樓"/>
    <s v="4房2廳2衛(含加蓋 2房1衛) "/>
    <s v="台中市西區博館路  "/>
    <s v="25,800元/月"/>
    <s v="5"/>
    <s v="5"/>
    <x v="2"/>
    <n v="2"/>
    <n v="2"/>
    <s v="台中市西區博館路  "/>
    <x v="2"/>
    <n v="25800"/>
    <x v="2"/>
    <x v="0"/>
    <x v="1"/>
  </r>
  <r>
    <s v="興大書香園同學合租宅  "/>
    <s v="成屋"/>
    <n v="32.5"/>
    <s v="6/12樓"/>
    <s v="5房2廳2衛(含加蓋 2房) "/>
    <s v="台中市南區學府路  "/>
    <s v="30,000元/月"/>
    <s v="6"/>
    <s v="12"/>
    <x v="5"/>
    <n v="2"/>
    <n v="2"/>
    <s v="台中市南區學府路  "/>
    <x v="2"/>
    <n v="30000"/>
    <x v="2"/>
    <x v="0"/>
    <x v="0"/>
  </r>
  <r>
    <s v="元百大鎮四房平車  "/>
    <s v="成屋"/>
    <n v="48.14"/>
    <s v="3/7樓"/>
    <s v="4房2廳2衛 "/>
    <s v="台中市大里區向學一路  "/>
    <s v="23,000元/月"/>
    <s v="3"/>
    <s v="7"/>
    <x v="2"/>
    <n v="2"/>
    <n v="2"/>
    <s v="台中市大里區向學一路  "/>
    <x v="2"/>
    <n v="23000"/>
    <x v="2"/>
    <x v="0"/>
    <x v="1"/>
  </r>
  <r>
    <s v="惠宇敦北大三房平車附傢俱  "/>
    <s v="成屋"/>
    <n v="55.43"/>
    <s v="2/15樓"/>
    <s v="3房2廳2衛 "/>
    <s v="惠宇敦北 / 台中市北屯區南興路  "/>
    <s v="35,000元/月"/>
    <s v="2"/>
    <s v="15"/>
    <x v="0"/>
    <n v="2"/>
    <n v="2"/>
    <s v=" 台中市北屯區南興路  "/>
    <x v="2"/>
    <n v="35000"/>
    <x v="2"/>
    <x v="0"/>
    <x v="0"/>
  </r>
  <r>
    <s v="ｉ世界高樓景觀２房平車宅  "/>
    <s v="成屋"/>
    <n v="33.270000000000003"/>
    <s v="15/15樓"/>
    <s v="2房2廳1衛 "/>
    <s v="高雄市左營區鼓山三路  "/>
    <s v="28,000元/月"/>
    <s v="15"/>
    <s v="15"/>
    <x v="3"/>
    <n v="2"/>
    <n v="1"/>
    <s v="高雄市左營區鼓山三路  "/>
    <x v="4"/>
    <n v="28000"/>
    <x v="1"/>
    <x v="0"/>
    <x v="0"/>
  </r>
  <r>
    <s v="文山帝匯美２房平車含管  "/>
    <s v="成屋"/>
    <n v="44.74"/>
    <s v="4/15樓"/>
    <s v="2房2廳2衛 "/>
    <s v="高雄市三民區褒揚東街  "/>
    <s v="29,000元/月"/>
    <s v="4"/>
    <s v="15"/>
    <x v="3"/>
    <n v="2"/>
    <n v="2"/>
    <s v="高雄市三民區褒揚東街  "/>
    <x v="4"/>
    <n v="29000"/>
    <x v="1"/>
    <x v="0"/>
    <x v="0"/>
  </r>
  <r>
    <s v="東新街機能２房  "/>
    <s v="成屋"/>
    <n v="23"/>
    <s v="4/4樓"/>
    <s v="2房2廳1衛 "/>
    <s v="台北市南港區東新街  "/>
    <s v="22,000元/月"/>
    <s v="4"/>
    <s v="4"/>
    <x v="3"/>
    <n v="2"/>
    <n v="1"/>
    <s v="台北市南港區東新街  "/>
    <x v="0"/>
    <n v="22000"/>
    <x v="0"/>
    <x v="1"/>
    <x v="1"/>
  </r>
  <r>
    <s v="遠雄青溪小檜溪重劃區  "/>
    <s v="成屋"/>
    <n v="41.06"/>
    <s v="6/14樓"/>
    <s v="2房2廳1衛 "/>
    <s v="桃園市桃園區民光東路  "/>
    <s v="28,000元/月"/>
    <s v="6"/>
    <s v="14"/>
    <x v="3"/>
    <n v="2"/>
    <n v="1"/>
    <s v="桃園市桃園區民光東路  "/>
    <x v="3"/>
    <n v="28000"/>
    <x v="0"/>
    <x v="0"/>
    <x v="0"/>
  </r>
  <r>
    <s v="聯上海棠邊間平車  "/>
    <s v="成屋"/>
    <n v="49.71"/>
    <s v="7/29樓"/>
    <s v="2房2廳2衛 "/>
    <s v="台南市安平區國平北路  "/>
    <s v="33,000元/月"/>
    <s v="7"/>
    <s v="29"/>
    <x v="3"/>
    <n v="2"/>
    <n v="2"/>
    <s v="台南市安平區國平北路  "/>
    <x v="1"/>
    <n v="33000"/>
    <x v="1"/>
    <x v="0"/>
    <x v="2"/>
  </r>
  <r>
    <s v="可租補２樓公寓  "/>
    <s v="成屋"/>
    <n v="20.87"/>
    <s v="2/4樓"/>
    <s v="3房2廳1衛 "/>
    <s v="新北市三重區環河南路  "/>
    <s v="18,000元/月"/>
    <s v="2"/>
    <s v="4"/>
    <x v="0"/>
    <n v="2"/>
    <n v="1"/>
    <s v="新北市三重區環河南路  "/>
    <x v="5"/>
    <n v="18000"/>
    <x v="0"/>
    <x v="1"/>
    <x v="1"/>
  </r>
  <r>
    <s v="遠見禾悅全新大三房平車  "/>
    <s v="成屋"/>
    <n v="55.58"/>
    <s v="4/15樓"/>
    <s v="3房2廳2衛 "/>
    <s v="高雄市楠梓區大學南路  "/>
    <s v="28,000元/月"/>
    <s v="4"/>
    <s v="15"/>
    <x v="0"/>
    <n v="2"/>
    <n v="2"/>
    <s v="高雄市楠梓區大學南路  "/>
    <x v="4"/>
    <n v="28000"/>
    <x v="1"/>
    <x v="0"/>
    <x v="0"/>
  </r>
  <r>
    <s v="大業國中旁金店面  "/>
    <s v="成屋"/>
    <n v="41.43"/>
    <s v="1-2/14樓"/>
    <s v="1房2廳2衛 "/>
    <s v="大官邸 / 台中市南屯區大進街  "/>
    <s v="38,000元/月"/>
    <s v="1-2"/>
    <s v="14"/>
    <x v="4"/>
    <n v="2"/>
    <n v="2"/>
    <s v=" 台中市南屯區大進街  "/>
    <x v="2"/>
    <n v="38000"/>
    <x v="2"/>
    <x v="0"/>
    <x v="0"/>
  </r>
  <r>
    <s v="公園里２＋１視野宅  "/>
    <s v="成屋"/>
    <n v="34.5"/>
    <s v="12/12樓"/>
    <s v="2房2廳2衛 "/>
    <s v="桃園市八德區興豐路  "/>
    <s v="23,000元/月"/>
    <s v="12"/>
    <s v="12"/>
    <x v="3"/>
    <n v="2"/>
    <n v="2"/>
    <s v="桃園市八德區興豐路  "/>
    <x v="3"/>
    <n v="23000"/>
    <x v="0"/>
    <x v="0"/>
    <x v="0"/>
  </r>
  <r>
    <s v="水舞川｜質感透光兩房平車  "/>
    <s v="成屋"/>
    <n v="35.51"/>
    <s v="19/19樓"/>
    <s v="2房2廳1衛 "/>
    <s v="台南市安南區樂活一街  "/>
    <s v="22,500元/月"/>
    <s v="19"/>
    <s v="19"/>
    <x v="3"/>
    <n v="2"/>
    <n v="1"/>
    <s v="台南市安南區樂活一街  "/>
    <x v="1"/>
    <n v="22500"/>
    <x v="1"/>
    <x v="0"/>
    <x v="0"/>
  </r>
  <r>
    <s v="溫馨日日２房車位  "/>
    <s v="成屋"/>
    <n v="41.55"/>
    <s v="6/15樓"/>
    <s v="2房2廳1衛 "/>
    <s v="台北市內湖區民權東路六段  "/>
    <s v="48,000元/月"/>
    <s v="6"/>
    <s v="15"/>
    <x v="3"/>
    <n v="2"/>
    <n v="1"/>
    <s v="台北市內湖區民權東路六段  "/>
    <x v="0"/>
    <n v="48000"/>
    <x v="0"/>
    <x v="0"/>
    <x v="0"/>
  </r>
  <r>
    <s v="公園  "/>
    <s v="成屋"/>
    <n v="32.53"/>
    <s v="21/21樓"/>
    <s v="2房1廳1衛 "/>
    <s v="高雄市左營區富國路  "/>
    <s v="20,000元/月"/>
    <s v="21"/>
    <s v="21"/>
    <x v="3"/>
    <n v="1"/>
    <n v="1"/>
    <s v="高雄市左營區富國路  "/>
    <x v="4"/>
    <n v="20000"/>
    <x v="1"/>
    <x v="0"/>
    <x v="2"/>
  </r>
  <r>
    <s v="師大ＢＬＯＧ◆景觀套房  "/>
    <s v="成屋"/>
    <n v="14.96"/>
    <s v="6/9樓"/>
    <s v="1房1廳1衛(含加蓋 1房) "/>
    <s v="台北市大安區師大路  "/>
    <s v="32,000元/月"/>
    <s v="6"/>
    <s v="9"/>
    <x v="4"/>
    <n v="1"/>
    <n v="1"/>
    <s v="台北市大安區師大路  "/>
    <x v="0"/>
    <n v="32000"/>
    <x v="0"/>
    <x v="2"/>
    <x v="1"/>
  </r>
  <r>
    <s v="ＴＯＰＯＮＥ高樓兩房車位  "/>
    <s v="成屋"/>
    <n v="28.76"/>
    <s v="8/15樓"/>
    <s v="2房2廳1衛 "/>
    <s v="高雄市楠梓區藍田路  "/>
    <s v="19,000元/月"/>
    <s v="8"/>
    <s v="15"/>
    <x v="3"/>
    <n v="2"/>
    <n v="1"/>
    <s v="高雄市楠梓區藍田路  "/>
    <x v="4"/>
    <n v="19000"/>
    <x v="1"/>
    <x v="1"/>
    <x v="0"/>
  </r>
  <r>
    <s v="三和路住了就開心  "/>
    <s v="成屋"/>
    <n v="23.6"/>
    <s v="4/4樓"/>
    <s v="2房1廳1衛 "/>
    <s v="新北市三重區三和路三段  "/>
    <s v="28,000元/月"/>
    <s v="4"/>
    <s v="4"/>
    <x v="3"/>
    <n v="1"/>
    <n v="1"/>
    <s v="新北市三重區三和路三段  "/>
    <x v="5"/>
    <n v="28000"/>
    <x v="0"/>
    <x v="1"/>
    <x v="1"/>
  </r>
  <r>
    <s v="永康視野美景小資美居  "/>
    <s v="成屋"/>
    <n v="27.54"/>
    <s v="7/11樓"/>
    <s v="3房2廳2衛1室(含加蓋 2房1廳1衛1室) "/>
    <s v="台南市永康區中華一路  "/>
    <s v="15,000元/月"/>
    <s v="7"/>
    <s v="11"/>
    <x v="0"/>
    <n v="2"/>
    <n v="2"/>
    <s v="台南市永康區中華一路  "/>
    <x v="1"/>
    <n v="15000"/>
    <x v="1"/>
    <x v="1"/>
    <x v="0"/>
  </r>
  <r>
    <s v="精心裝潢美兩房  "/>
    <s v="成屋"/>
    <n v="15.59"/>
    <s v="1/1樓"/>
    <s v="1房1廳1衛 "/>
    <s v="桃園市八德區豐德路  "/>
    <s v="15,000元/月"/>
    <s v="1"/>
    <s v="1"/>
    <x v="4"/>
    <n v="1"/>
    <n v="1"/>
    <s v="桃園市八德區豐德路  "/>
    <x v="3"/>
    <n v="15000"/>
    <x v="0"/>
    <x v="1"/>
    <x v="1"/>
  </r>
  <r>
    <s v="近捷運新屋裝潢兩房車位讚  "/>
    <s v="成屋"/>
    <n v="33.840000000000003"/>
    <s v="18/31樓"/>
    <s v="2房2廳1衛 "/>
    <s v="台中市西屯區市政路  "/>
    <s v="40,000元/月"/>
    <s v="18"/>
    <s v="31"/>
    <x v="3"/>
    <n v="2"/>
    <n v="1"/>
    <s v="台中市西屯區市政路  "/>
    <x v="2"/>
    <n v="40000"/>
    <x v="2"/>
    <x v="0"/>
    <x v="3"/>
  </r>
  <r>
    <s v="光華國小公寓２樓  "/>
    <s v="成屋"/>
    <n v="25.98"/>
    <s v="2/5樓"/>
    <s v="1房1廳1衛 "/>
    <s v="新北市新莊區民安西路  "/>
    <s v="19,000元/月"/>
    <s v="2"/>
    <s v="5"/>
    <x v="4"/>
    <n v="1"/>
    <n v="1"/>
    <s v="新北市新莊區民安西路  "/>
    <x v="5"/>
    <n v="19000"/>
    <x v="0"/>
    <x v="1"/>
    <x v="1"/>
  </r>
  <r>
    <s v="誠豐天廈近文心森林公園站  "/>
    <s v="成屋"/>
    <n v="215.67"/>
    <s v="14/15樓"/>
    <s v="6房1廳6衛 "/>
    <s v="台中市南屯區向上南路一段  "/>
    <s v="150,000元/月"/>
    <s v="14"/>
    <s v="15"/>
    <x v="6"/>
    <n v="1"/>
    <n v="6"/>
    <s v="台中市南屯區向上南路一段  "/>
    <x v="2"/>
    <n v="150000"/>
    <x v="2"/>
    <x v="0"/>
    <x v="0"/>
  </r>
  <r>
    <s v="太平附家具美三房平雙平車  "/>
    <s v="成屋"/>
    <n v="55.64"/>
    <s v="3/15樓"/>
    <s v="3房2廳2衛 "/>
    <s v="台中市太平區環中東路三段  "/>
    <s v="40,000元/月"/>
    <s v="3"/>
    <s v="15"/>
    <x v="0"/>
    <n v="2"/>
    <n v="2"/>
    <s v="台中市太平區環中東路三段  "/>
    <x v="2"/>
    <n v="40000"/>
    <x v="2"/>
    <x v="0"/>
    <x v="0"/>
  </r>
  <r>
    <s v="椰林科大賀大三房平面車位  "/>
    <s v="成屋"/>
    <n v="55.16"/>
    <s v="5/13樓"/>
    <s v="3房2廳2衛 "/>
    <s v="新竹縣竹北市科大一路  "/>
    <s v="31,000元/月"/>
    <s v="5"/>
    <s v="13"/>
    <x v="0"/>
    <n v="2"/>
    <n v="2"/>
    <s v="新竹縣竹北市科大一路  "/>
    <x v="6"/>
    <n v="31000"/>
    <x v="0"/>
    <x v="0"/>
    <x v="0"/>
  </r>
  <r>
    <s v="耀承一品高雅兩房車位  "/>
    <s v="成屋"/>
    <n v="17.11"/>
    <s v="8/11樓"/>
    <s v="2房2廳1衛 "/>
    <s v="新北市土城區金信街  "/>
    <s v="35,000元/月"/>
    <s v="8"/>
    <s v="11"/>
    <x v="3"/>
    <n v="2"/>
    <n v="1"/>
    <s v="新北市土城區金信街  "/>
    <x v="5"/>
    <n v="35000"/>
    <x v="0"/>
    <x v="1"/>
    <x v="0"/>
  </r>
  <r>
    <s v="有伴溫馨三房車位  "/>
    <s v="成屋"/>
    <n v="48.8"/>
    <s v="8/16樓"/>
    <s v="3房2廳2衛 "/>
    <s v="桃園市桃園區民光東路  "/>
    <s v="25,000元/月"/>
    <s v="8"/>
    <s v="16"/>
    <x v="0"/>
    <n v="2"/>
    <n v="2"/>
    <s v="桃園市桃園區民光東路  "/>
    <x v="3"/>
    <n v="25000"/>
    <x v="0"/>
    <x v="0"/>
    <x v="0"/>
  </r>
  <r>
    <s v="大安世紀花園景觀四房  "/>
    <s v="成屋"/>
    <n v="47.43"/>
    <s v="5/17樓"/>
    <s v="4房2廳2衛 "/>
    <s v="台北市大安區安和路二段  "/>
    <s v="82,000元/月"/>
    <s v="5"/>
    <s v="17"/>
    <x v="2"/>
    <n v="2"/>
    <n v="2"/>
    <s v="台北市大安區安和路二段  "/>
    <x v="0"/>
    <n v="82000"/>
    <x v="0"/>
    <x v="0"/>
    <x v="0"/>
  </r>
  <r>
    <s v="☆市政愛悅☆寧靜美屋  "/>
    <s v="成屋"/>
    <n v="36.020000000000003"/>
    <s v="7/36樓"/>
    <s v="2房1廳1衛 "/>
    <s v="台中市西屯區臺灣大道三段  "/>
    <s v="28,000元/月"/>
    <s v="7"/>
    <s v="36"/>
    <x v="3"/>
    <n v="1"/>
    <n v="1"/>
    <s v="台中市西屯區臺灣大道三段  "/>
    <x v="2"/>
    <n v="28000"/>
    <x v="2"/>
    <x v="0"/>
    <x v="3"/>
  </r>
  <r>
    <s v="國際金融雙星７樓  "/>
    <s v="成屋"/>
    <n v="37.5"/>
    <s v="7/18樓"/>
    <s v="2房2廳2衛 "/>
    <s v="桃園市中壢區高鐵站前西路一段  "/>
    <s v="27,000元/月"/>
    <s v="7"/>
    <s v="18"/>
    <x v="3"/>
    <n v="2"/>
    <n v="2"/>
    <s v="桃園市中壢區高鐵站前西路一段  "/>
    <x v="3"/>
    <n v="27000"/>
    <x v="0"/>
    <x v="0"/>
    <x v="0"/>
  </r>
  <r>
    <s v="正慶平路面寬約１０米店住  "/>
    <s v="成屋"/>
    <n v="113.59"/>
    <s v="1-2/13樓"/>
    <s v="5房3廳4衛(含加蓋 1廳) "/>
    <s v="愛琴海 / 台南市安平區慶平路  "/>
    <s v="75,000元/月"/>
    <s v="1-2"/>
    <s v="13"/>
    <x v="5"/>
    <n v="3"/>
    <n v="4"/>
    <s v=" 台南市安平區慶平路  "/>
    <x v="1"/>
    <n v="75000"/>
    <x v="1"/>
    <x v="0"/>
    <x v="0"/>
  </r>
  <r>
    <s v="萬大線連城公寓３房  "/>
    <s v="成屋"/>
    <n v="25.93"/>
    <s v="3/5樓"/>
    <s v="3房2廳1衛 "/>
    <s v="新北市中和區連城路  "/>
    <s v="24,000元/月"/>
    <s v="3"/>
    <s v="5"/>
    <x v="0"/>
    <n v="2"/>
    <n v="1"/>
    <s v="新北市中和區連城路  "/>
    <x v="5"/>
    <n v="24000"/>
    <x v="0"/>
    <x v="1"/>
    <x v="1"/>
  </r>
  <r>
    <s v="中和公寓二樓三房  "/>
    <s v="成屋"/>
    <n v="21.77"/>
    <s v="2/5樓"/>
    <s v="3房2廳1衛 "/>
    <s v="新北市中和區連城路  "/>
    <s v="23,000元/月"/>
    <s v="2"/>
    <s v="5"/>
    <x v="0"/>
    <n v="2"/>
    <n v="1"/>
    <s v="新北市中和區連城路  "/>
    <x v="5"/>
    <n v="23000"/>
    <x v="0"/>
    <x v="1"/>
    <x v="4"/>
  </r>
  <r>
    <s v="捷運首席  "/>
    <s v="成屋"/>
    <n v="12.61"/>
    <s v="6/12樓"/>
    <s v="2房1廳1衛(含加蓋 1房) "/>
    <s v="新北市三重區過圳街  "/>
    <s v="25,000元/月"/>
    <s v="6"/>
    <s v="12"/>
    <x v="3"/>
    <n v="1"/>
    <n v="1"/>
    <s v="新北市三重區過圳街  "/>
    <x v="5"/>
    <n v="25000"/>
    <x v="0"/>
    <x v="2"/>
    <x v="0"/>
  </r>
  <r>
    <s v="惠宇上和３房平車  "/>
    <s v="成屋"/>
    <n v="48.4"/>
    <s v="5/15樓"/>
    <s v="3房2廳2衛 "/>
    <s v="台中市烏日區環河路四段  "/>
    <s v="35,000元/月"/>
    <s v="5"/>
    <s v="15"/>
    <x v="0"/>
    <n v="2"/>
    <n v="2"/>
    <s v="台中市烏日區環河路四段  "/>
    <x v="2"/>
    <n v="35000"/>
    <x v="2"/>
    <x v="0"/>
    <x v="0"/>
  </r>
  <r>
    <s v="日月光‧雲端尊爵３房車位  "/>
    <s v="成屋"/>
    <n v="59.11"/>
    <s v="23/28樓"/>
    <s v="3房2廳2衛1室 "/>
    <s v="新北市土城區中央路二段  "/>
    <s v="46,000元/月"/>
    <s v="23"/>
    <s v="28"/>
    <x v="0"/>
    <n v="2"/>
    <n v="2"/>
    <s v="新北市土城區中央路二段  "/>
    <x v="5"/>
    <n v="46000"/>
    <x v="0"/>
    <x v="0"/>
    <x v="2"/>
  </r>
  <r>
    <s v="近清大｜鴻儒天下大四房  "/>
    <s v="成屋"/>
    <n v="47.19"/>
    <s v="19/19樓"/>
    <s v="4房2廳2衛 "/>
    <s v="新竹市新竹市建中一路  "/>
    <s v="25,000元/月"/>
    <s v="19"/>
    <s v="19"/>
    <x v="2"/>
    <n v="2"/>
    <n v="2"/>
    <s v="新竹市新竹市建中一路  "/>
    <x v="7"/>
    <n v="25000"/>
    <x v="0"/>
    <x v="0"/>
    <x v="0"/>
  </r>
  <r>
    <s v="新光三越｜兩房兩衛平車  "/>
    <s v="成屋"/>
    <n v="30.5"/>
    <s v="9/15樓"/>
    <s v="2房1廳2衛 "/>
    <s v="台南市北區和緯路二段  "/>
    <s v="32,000元/月"/>
    <s v="9"/>
    <s v="15"/>
    <x v="3"/>
    <n v="1"/>
    <n v="2"/>
    <s v="台南市北區和緯路二段  "/>
    <x v="1"/>
    <n v="32000"/>
    <x v="1"/>
    <x v="0"/>
    <x v="0"/>
  </r>
  <r>
    <s v="國泰荷蘭村大４房平車  "/>
    <s v="成屋"/>
    <n v="58.12"/>
    <s v="5/21樓"/>
    <s v="4房2廳2衛 "/>
    <s v="新竹市新竹市武陵路  "/>
    <s v="28,000元/月"/>
    <s v="5"/>
    <s v="21"/>
    <x v="2"/>
    <n v="2"/>
    <n v="2"/>
    <s v="新竹市新竹市武陵路  "/>
    <x v="7"/>
    <n v="28000"/>
    <x v="0"/>
    <x v="0"/>
    <x v="2"/>
  </r>
  <r>
    <s v="有誠意精美三房車位  "/>
    <s v="成屋"/>
    <n v="40.020000000000003"/>
    <s v="7/8樓"/>
    <s v="3房2廳2衛 "/>
    <s v="桃園市八德區建國路  "/>
    <s v="19,000元/月"/>
    <s v="7"/>
    <s v="8"/>
    <x v="0"/>
    <n v="2"/>
    <n v="2"/>
    <s v="桃園市八德區建國路  "/>
    <x v="3"/>
    <n v="19000"/>
    <x v="0"/>
    <x v="0"/>
    <x v="1"/>
  </r>
  <r>
    <s v="坎城假期悠閒兩房  "/>
    <s v="成屋"/>
    <n v="22.95"/>
    <s v="9/13樓"/>
    <s v="2房2廳1衛 "/>
    <s v="新北市五股區成泰路一段  "/>
    <s v="23,000元/月"/>
    <s v="9"/>
    <s v="13"/>
    <x v="3"/>
    <n v="2"/>
    <n v="1"/>
    <s v="新北市五股區成泰路一段  "/>
    <x v="5"/>
    <n v="23000"/>
    <x v="0"/>
    <x v="1"/>
    <x v="0"/>
  </r>
  <r>
    <s v="近捷運時尚小豪宅  "/>
    <s v="成屋"/>
    <n v="13.98"/>
    <s v="4/12樓"/>
    <s v="1房1廳1衛 "/>
    <s v="台北市大同區蘭州街  "/>
    <s v="37,000元/月"/>
    <s v="4"/>
    <s v="12"/>
    <x v="4"/>
    <n v="1"/>
    <n v="1"/>
    <s v="台北市大同區蘭州街  "/>
    <x v="0"/>
    <n v="37000"/>
    <x v="0"/>
    <x v="2"/>
    <x v="0"/>
  </r>
  <r>
    <s v="忠駝看１０１（暫不介紹）  "/>
    <s v="成屋"/>
    <n v="46.9"/>
    <s v="9/12樓"/>
    <s v="3房2廳2衛 "/>
    <s v="台北市信義區基隆路一段  "/>
    <s v="55,000元/月"/>
    <s v="9"/>
    <s v="12"/>
    <x v="0"/>
    <n v="2"/>
    <n v="2"/>
    <s v="台北市信義區基隆路一段  "/>
    <x v="0"/>
    <n v="55000"/>
    <x v="0"/>
    <x v="0"/>
    <x v="4"/>
  </r>
  <r>
    <s v="大安公園美景水樹之間  "/>
    <s v="成屋"/>
    <n v="53.81"/>
    <s v="7/14樓"/>
    <s v="1房2廳1衛 "/>
    <s v="台北市大安區信義路三段  "/>
    <s v="118,000元/月"/>
    <s v="7"/>
    <s v="14"/>
    <x v="4"/>
    <n v="2"/>
    <n v="1"/>
    <s v="台北市大安區信義路三段  "/>
    <x v="0"/>
    <n v="118000"/>
    <x v="0"/>
    <x v="0"/>
    <x v="0"/>
  </r>
  <r>
    <s v="深ＣＡＳＡ⭐三房平車⭐  "/>
    <s v="成屋"/>
    <n v="44.9"/>
    <s v="7/15樓"/>
    <s v="3房2廳2衛 "/>
    <s v="台中市北屯區敦富三街  "/>
    <s v="30,000元/月"/>
    <s v="7"/>
    <s v="15"/>
    <x v="0"/>
    <n v="2"/>
    <n v="2"/>
    <s v="台中市北屯區敦富三街  "/>
    <x v="2"/>
    <n v="30000"/>
    <x v="2"/>
    <x v="0"/>
    <x v="0"/>
  </r>
  <r>
    <s v="雙敦學區華廈美三房  "/>
    <s v="成屋"/>
    <n v="46.04"/>
    <s v="6/7樓"/>
    <s v="3房2廳2衛1室 "/>
    <s v="敦化一品 / 台北市松山區八德路二段  "/>
    <s v="75,000元/月"/>
    <s v="6"/>
    <s v="7"/>
    <x v="0"/>
    <n v="2"/>
    <n v="2"/>
    <s v=" 台北市松山區八德路二段  "/>
    <x v="0"/>
    <n v="75000"/>
    <x v="0"/>
    <x v="0"/>
    <x v="1"/>
  </r>
  <r>
    <s v="敦北雅緻３房林蔭景觀  "/>
    <s v="成屋"/>
    <n v="43.33"/>
    <s v="10/12樓"/>
    <s v="3房2廳2衛 "/>
    <s v="台北市松山區敦化北路  "/>
    <s v="68,000元/月"/>
    <s v="10"/>
    <s v="12"/>
    <x v="0"/>
    <n v="2"/>
    <n v="2"/>
    <s v="台北市松山區敦化北路  "/>
    <x v="0"/>
    <n v="68000"/>
    <x v="0"/>
    <x v="0"/>
    <x v="0"/>
  </r>
  <r>
    <s v="忠孝捷運裝潢挑高美邸  "/>
    <s v="成屋"/>
    <n v="26.3"/>
    <s v="8/13樓"/>
    <s v="2房2廳1衛(含加蓋 1房) "/>
    <s v="台北市中正區忠孝東路一段  "/>
    <s v="65,000元/月"/>
    <s v="8"/>
    <s v="13"/>
    <x v="3"/>
    <n v="2"/>
    <n v="1"/>
    <s v="台北市中正區忠孝東路一段  "/>
    <x v="0"/>
    <n v="65000"/>
    <x v="0"/>
    <x v="1"/>
    <x v="0"/>
  </r>
  <r>
    <s v="超級Ｆ１‧高雅質感  "/>
    <s v="成屋"/>
    <n v="12.01"/>
    <s v="12/24樓"/>
    <s v="1房1廳1衛 "/>
    <s v="新北市板橋區新府路  "/>
    <s v="22,000元/月"/>
    <s v="12"/>
    <s v="24"/>
    <x v="4"/>
    <n v="1"/>
    <n v="1"/>
    <s v="新北市板橋區新府路  "/>
    <x v="5"/>
    <n v="22000"/>
    <x v="0"/>
    <x v="2"/>
    <x v="2"/>
  </r>
  <r>
    <s v="採光好三房  "/>
    <s v="成屋"/>
    <n v="26.46"/>
    <s v="5/5樓"/>
    <s v="3房2廳2衛 "/>
    <s v="新北市中和區自強路  "/>
    <s v="19,800元/月"/>
    <s v="5"/>
    <s v="5"/>
    <x v="0"/>
    <n v="2"/>
    <n v="2"/>
    <s v="新北市中和區自強路  "/>
    <x v="5"/>
    <n v="19800"/>
    <x v="0"/>
    <x v="1"/>
    <x v="1"/>
  </r>
  <r>
    <s v="永福國小方正二樓美寓  "/>
    <s v="成屋"/>
    <n v="31.86"/>
    <s v="2/5樓"/>
    <s v="3房2廳1.5衛 "/>
    <s v="新北市三重區永福街  "/>
    <s v="27,000元/月"/>
    <s v="2"/>
    <s v="5"/>
    <x v="0"/>
    <n v="2"/>
    <n v="5"/>
    <s v="新北市三重區永福街  "/>
    <x v="5"/>
    <n v="27000"/>
    <x v="0"/>
    <x v="0"/>
    <x v="1"/>
  </r>
  <r>
    <s v="民生新東街靜巷四房  "/>
    <s v="成屋"/>
    <n v="28.94"/>
    <s v="1/4樓"/>
    <s v="4房1廳1衛 "/>
    <s v="台北市松山區新東街  "/>
    <s v="45,000元/月"/>
    <s v="1"/>
    <s v="4"/>
    <x v="2"/>
    <n v="1"/>
    <n v="1"/>
    <s v="台北市松山區新東街  "/>
    <x v="0"/>
    <n v="45000"/>
    <x v="0"/>
    <x v="1"/>
    <x v="1"/>
  </r>
  <r>
    <s v="遠揚新世界１樓＋２樓  "/>
    <s v="成屋"/>
    <n v="90.91"/>
    <s v="1-2/7樓"/>
    <s v="6房3廳2衛 "/>
    <s v="新北市板橋區南雅南路二段  "/>
    <s v="120,000元/月"/>
    <s v="1-2"/>
    <s v="7"/>
    <x v="6"/>
    <n v="3"/>
    <n v="2"/>
    <s v="新北市板橋區南雅南路二段  "/>
    <x v="5"/>
    <n v="120000"/>
    <x v="0"/>
    <x v="0"/>
    <x v="1"/>
  </r>
  <r>
    <s v="將捷之森裝潢兩房３  "/>
    <s v="成屋"/>
    <n v="38.86"/>
    <s v="16/26樓"/>
    <s v="2房2廳2衛 "/>
    <s v="新北市淡水區淡金路二段  "/>
    <s v="25,000元/月"/>
    <s v="16"/>
    <s v="26"/>
    <x v="3"/>
    <n v="2"/>
    <n v="2"/>
    <s v="新北市淡水區淡金路二段  "/>
    <x v="5"/>
    <n v="25000"/>
    <x v="0"/>
    <x v="0"/>
    <x v="2"/>
  </r>
  <r>
    <s v="惠宇一森青四房美宅  "/>
    <s v="成屋"/>
    <n v="77.260000000000005"/>
    <s v="13/21樓"/>
    <s v="4房2廳2衛 "/>
    <s v="台中市南屯區益昌六街  "/>
    <s v="68,000元/月"/>
    <s v="13"/>
    <s v="21"/>
    <x v="2"/>
    <n v="2"/>
    <n v="2"/>
    <s v="台中市南屯區益昌六街  "/>
    <x v="2"/>
    <n v="68000"/>
    <x v="2"/>
    <x v="0"/>
    <x v="2"/>
  </r>
  <r>
    <s v="四期綠意景觀三房次高樓  "/>
    <s v="成屋"/>
    <n v="53.96"/>
    <s v="10/11樓"/>
    <s v="3房2廳2衛 "/>
    <s v="台北市內湖區民權東路六段  "/>
    <s v="60,000元/月"/>
    <s v="10"/>
    <s v="11"/>
    <x v="0"/>
    <n v="2"/>
    <n v="2"/>
    <s v="台北市內湖區民權東路六段  "/>
    <x v="0"/>
    <n v="60000"/>
    <x v="0"/>
    <x v="0"/>
    <x v="0"/>
  </r>
  <r>
    <s v="大庄８米透店  "/>
    <s v="成屋"/>
    <n v="39.08"/>
    <s v="1-2/2樓"/>
    <s v="3房2廳1.5衛 "/>
    <s v="新竹市新竹市瑞光街  "/>
    <s v="20,000元/月"/>
    <s v="1-2"/>
    <s v="2"/>
    <x v="0"/>
    <n v="2"/>
    <n v="5"/>
    <s v="新竹市新竹市瑞光街  "/>
    <x v="7"/>
    <n v="20000"/>
    <x v="0"/>
    <x v="0"/>
    <x v="1"/>
  </r>
  <r>
    <s v="香榭景觀小豪邸  "/>
    <s v="成屋"/>
    <n v="20.329999999999998"/>
    <s v="10/19樓"/>
    <s v="1房2廳1衛 "/>
    <s v="台北市信義區信義路五段  "/>
    <s v="32,000元/月"/>
    <s v="10"/>
    <s v="19"/>
    <x v="4"/>
    <n v="2"/>
    <n v="1"/>
    <s v="台北市信義區信義路五段  "/>
    <x v="0"/>
    <n v="32000"/>
    <x v="0"/>
    <x v="1"/>
    <x v="0"/>
  </r>
  <r>
    <s v="唭哩岸站電梯套房美屋  "/>
    <s v="成屋"/>
    <n v="8.32"/>
    <s v="2/7樓"/>
    <s v="1房1廳1衛 "/>
    <s v="台北市北投區西安街二段  "/>
    <s v="19,000元/月"/>
    <s v="2"/>
    <s v="7"/>
    <x v="4"/>
    <n v="1"/>
    <n v="1"/>
    <s v="台北市北投區西安街二段  "/>
    <x v="0"/>
    <n v="19000"/>
    <x v="0"/>
    <x v="2"/>
    <x v="1"/>
  </r>
  <r>
    <s v="幸福心都心３房車位  "/>
    <s v="成屋"/>
    <n v="38.869999999999997"/>
    <s v="6/15樓"/>
    <s v="3房2廳2衛 "/>
    <s v="桃園市八德區新興路  "/>
    <s v="25,000元/月"/>
    <s v="6"/>
    <s v="15"/>
    <x v="0"/>
    <n v="2"/>
    <n v="2"/>
    <s v="桃園市八德區新興路  "/>
    <x v="3"/>
    <n v="25000"/>
    <x v="0"/>
    <x v="0"/>
    <x v="0"/>
  </r>
  <r>
    <s v="楠梓藍昌路騎樓透天  "/>
    <s v="成屋"/>
    <n v="29.54"/>
    <s v="1-2/2樓"/>
    <s v="6房2廳3.5衛(含加蓋 2房1.5衛) "/>
    <s v="高雄市楠梓區藍昌路  "/>
    <s v="20,000元/月"/>
    <s v="1-2"/>
    <s v="2"/>
    <x v="6"/>
    <n v="2"/>
    <n v="5"/>
    <s v="高雄市楠梓區藍昌路  "/>
    <x v="4"/>
    <n v="20000"/>
    <x v="1"/>
    <x v="1"/>
    <x v="1"/>
  </r>
  <r>
    <s v="東方公園三房車位  "/>
    <s v="成屋"/>
    <n v="33.17"/>
    <s v="18/19樓"/>
    <s v="3房2廳2衛 "/>
    <s v="台南市永康區中華二路  "/>
    <s v="17,000元/月"/>
    <s v="18"/>
    <s v="19"/>
    <x v="0"/>
    <n v="2"/>
    <n v="2"/>
    <s v="台南市永康區中華二路  "/>
    <x v="1"/>
    <n v="17000"/>
    <x v="1"/>
    <x v="0"/>
    <x v="0"/>
  </r>
  <r>
    <s v="公園路二樓美式邊間大空間  "/>
    <s v="成屋"/>
    <n v="36.590000000000003"/>
    <s v="2/4樓"/>
    <s v="3房2廳2衛 "/>
    <s v="新北市新莊區公園路  "/>
    <s v="35,000元/月"/>
    <s v="2"/>
    <s v="4"/>
    <x v="0"/>
    <n v="2"/>
    <n v="2"/>
    <s v="新北市新莊區公園路  "/>
    <x v="5"/>
    <n v="35000"/>
    <x v="0"/>
    <x v="0"/>
    <x v="1"/>
  </r>
  <r>
    <s v="鄧公路可租補大空間  "/>
    <s v="成屋"/>
    <n v="23.75"/>
    <s v="4/4樓"/>
    <s v="2房2廳1衛 "/>
    <s v="新北市淡水區鄧公路  "/>
    <s v="20,000元/月"/>
    <s v="4"/>
    <s v="4"/>
    <x v="3"/>
    <n v="2"/>
    <n v="1"/>
    <s v="新北市淡水區鄧公路  "/>
    <x v="5"/>
    <n v="20000"/>
    <x v="0"/>
    <x v="1"/>
    <x v="1"/>
  </r>
  <r>
    <s v="精選★新潤青樺３房車位  "/>
    <s v="成屋"/>
    <n v="32.770000000000003"/>
    <s v="12/15樓"/>
    <s v="3房2廳2衛 "/>
    <s v="新北市土城區學士路  "/>
    <s v="37,000元/月"/>
    <s v="12"/>
    <s v="15"/>
    <x v="0"/>
    <n v="2"/>
    <n v="2"/>
    <s v="新北市土城區學士路  "/>
    <x v="5"/>
    <n v="37000"/>
    <x v="0"/>
    <x v="0"/>
    <x v="0"/>
  </r>
  <r>
    <s v="中平路溫馨三房大車位！！  "/>
    <s v="成屋"/>
    <n v="44.58"/>
    <s v="7/7樓"/>
    <s v="3房2廳2衛 "/>
    <s v="新北市新莊區中平路  "/>
    <s v="39,000元/月"/>
    <s v="7"/>
    <s v="7"/>
    <x v="0"/>
    <n v="2"/>
    <n v="2"/>
    <s v="新北市新莊區中平路  "/>
    <x v="5"/>
    <n v="39000"/>
    <x v="0"/>
    <x v="0"/>
    <x v="1"/>
  </r>
  <r>
    <s v="將捷之森裝潢兩房２  "/>
    <s v="成屋"/>
    <n v="38.86"/>
    <s v="16/26樓"/>
    <s v="2房2廳2衛 "/>
    <s v="新北市淡水區淡金路二段  "/>
    <s v="25,000元/月"/>
    <s v="16"/>
    <s v="26"/>
    <x v="3"/>
    <n v="2"/>
    <n v="2"/>
    <s v="新北市淡水區淡金路二段  "/>
    <x v="5"/>
    <n v="25000"/>
    <x v="0"/>
    <x v="0"/>
    <x v="2"/>
  </r>
  <r>
    <s v="將捷之森裝潢兩房１  "/>
    <s v="成屋"/>
    <n v="39.43"/>
    <s v="15/26樓"/>
    <s v="2房2廳2衛 "/>
    <s v="新北市淡水區淡金路二段  "/>
    <s v="25,000元/月"/>
    <s v="15"/>
    <s v="26"/>
    <x v="3"/>
    <n v="2"/>
    <n v="2"/>
    <s v="新北市淡水區淡金路二段  "/>
    <x v="5"/>
    <n v="25000"/>
    <x v="0"/>
    <x v="0"/>
    <x v="2"/>
  </r>
  <r>
    <s v="華勛景觀三房  "/>
    <s v="成屋"/>
    <n v="28.96"/>
    <s v="6/7樓"/>
    <s v="3房2廳2衛 "/>
    <s v="桃園市中壢區華安路  "/>
    <s v="17,000元/月"/>
    <s v="6"/>
    <s v="7"/>
    <x v="0"/>
    <n v="2"/>
    <n v="2"/>
    <s v="桃園市中壢區華安路  "/>
    <x v="3"/>
    <n v="17000"/>
    <x v="0"/>
    <x v="1"/>
    <x v="1"/>
  </r>
  <r>
    <s v="★七期市政交響曲美宅  "/>
    <s v="成屋"/>
    <n v="23.93"/>
    <s v="21/28樓"/>
    <s v="1房2廳1衛 "/>
    <s v="台中市西屯區市政北一路  "/>
    <s v="20,000元/月"/>
    <s v="21"/>
    <s v="28"/>
    <x v="4"/>
    <n v="2"/>
    <n v="1"/>
    <s v="台中市西屯區市政北一路  "/>
    <x v="2"/>
    <n v="20000"/>
    <x v="2"/>
    <x v="1"/>
    <x v="2"/>
  </r>
  <r>
    <s v="一品花園電梯兩房  "/>
    <s v="成屋"/>
    <n v="29.33"/>
    <s v="7/7樓"/>
    <s v="2房2廳2衛1室 "/>
    <s v="新北市中和區安樂路  "/>
    <s v="33,000元/月"/>
    <s v="7"/>
    <s v="7"/>
    <x v="3"/>
    <n v="2"/>
    <n v="2"/>
    <s v="新北市中和區安樂路  "/>
    <x v="5"/>
    <n v="33000"/>
    <x v="0"/>
    <x v="1"/>
    <x v="1"/>
  </r>
  <r>
    <s v="景安南勢角漢寶二房  "/>
    <s v="成屋"/>
    <n v="28.6"/>
    <s v="13/27樓"/>
    <s v="2房2廳1衛 "/>
    <s v="新北市中和區景平路  "/>
    <s v="36,000元/月"/>
    <s v="13"/>
    <s v="27"/>
    <x v="3"/>
    <n v="2"/>
    <n v="1"/>
    <s v="新北市中和區景平路  "/>
    <x v="5"/>
    <n v="36000"/>
    <x v="0"/>
    <x v="1"/>
    <x v="2"/>
  </r>
  <r>
    <s v="永吉黃金三樓極美三房  "/>
    <s v="成屋"/>
    <n v="28.3"/>
    <s v="3/5樓"/>
    <s v="3房2廳2衛 "/>
    <s v="台北市信義區永吉路  "/>
    <s v="43,800元/月"/>
    <s v="3"/>
    <s v="5"/>
    <x v="0"/>
    <n v="2"/>
    <n v="2"/>
    <s v="台北市信義區永吉路  "/>
    <x v="0"/>
    <n v="43800"/>
    <x v="0"/>
    <x v="1"/>
    <x v="1"/>
  </r>
  <r>
    <s v="海安商圈文創店面  "/>
    <s v="成屋"/>
    <n v="4.79"/>
    <s v="1/1樓"/>
    <s v="1房1廳1衛1室(含加蓋 1房) "/>
    <s v="台南市中西區正德街  "/>
    <s v="18,000元/月"/>
    <s v="1"/>
    <s v="1"/>
    <x v="4"/>
    <n v="1"/>
    <n v="1"/>
    <s v="台南市中西區正德街  "/>
    <x v="1"/>
    <n v="18000"/>
    <x v="1"/>
    <x v="2"/>
    <x v="1"/>
  </r>
  <r>
    <s v="四號公園邊間公寓三樓  "/>
    <s v="成屋"/>
    <n v="27.65"/>
    <s v="3/5樓"/>
    <s v="3房2廳2衛 "/>
    <s v="新北市永和區安樂路  "/>
    <s v="28,500元/月"/>
    <s v="3"/>
    <s v="5"/>
    <x v="0"/>
    <n v="2"/>
    <n v="2"/>
    <s v="新北市永和區安樂路  "/>
    <x v="5"/>
    <n v="28500"/>
    <x v="0"/>
    <x v="1"/>
    <x v="1"/>
  </r>
  <r>
    <s v="近台積電大兩房平車  "/>
    <s v="成屋"/>
    <n v="49.12"/>
    <s v="14/15樓"/>
    <s v="2房2廳2衛 "/>
    <s v="高雄市楠梓區後昌路  "/>
    <s v="28,500元/月"/>
    <s v="14"/>
    <s v="15"/>
    <x v="3"/>
    <n v="2"/>
    <n v="2"/>
    <s v="高雄市楠梓區後昌路  "/>
    <x v="4"/>
    <n v="28500"/>
    <x v="1"/>
    <x v="0"/>
    <x v="0"/>
  </r>
  <r>
    <s v="捷運之星質感裝潢兩房平車  "/>
    <s v="成屋"/>
    <n v="49.85"/>
    <s v="8/15樓"/>
    <s v="2房2廳2衛 "/>
    <s v="高雄市楠梓區後昌路  "/>
    <s v="32,000元/月"/>
    <s v="8"/>
    <s v="15"/>
    <x v="3"/>
    <n v="2"/>
    <n v="2"/>
    <s v="高雄市楠梓區後昌路  "/>
    <x v="4"/>
    <n v="32000"/>
    <x v="1"/>
    <x v="0"/>
    <x v="0"/>
  </r>
  <r>
    <s v="山海大地２房車位  "/>
    <s v="成屋"/>
    <n v="33.4"/>
    <s v="5/19樓"/>
    <s v="2房2廳1衛 "/>
    <s v="山海大地 / 新北市淡水區淡金路  "/>
    <s v="20,000元/月"/>
    <s v="5"/>
    <s v="19"/>
    <x v="3"/>
    <n v="2"/>
    <n v="1"/>
    <s v=" 新北市淡水區淡金路  "/>
    <x v="5"/>
    <n v="20000"/>
    <x v="0"/>
    <x v="0"/>
    <x v="0"/>
  </r>
  <r>
    <s v="航空城Ａ１８四房長租可  "/>
    <s v="成屋"/>
    <n v="71.41"/>
    <s v="3/10樓"/>
    <s v="4房2廳2衛 "/>
    <s v="桃園市大園區水源南路  "/>
    <s v="30,000元/月"/>
    <s v="3"/>
    <s v="10"/>
    <x v="2"/>
    <n v="2"/>
    <n v="2"/>
    <s v="桃園市大園區水源南路  "/>
    <x v="3"/>
    <n v="30000"/>
    <x v="0"/>
    <x v="0"/>
    <x v="1"/>
  </r>
  <r>
    <s v="漾漾三房車位。美景  "/>
    <s v="成屋"/>
    <n v="40.68"/>
    <s v="15/15樓"/>
    <s v="2房2廳1衛1室 "/>
    <s v="新北市三重區水漾路一段  "/>
    <s v="45,000元/月"/>
    <s v="15"/>
    <s v="15"/>
    <x v="3"/>
    <n v="2"/>
    <n v="1"/>
    <s v="新北市三重區水漾路一段  "/>
    <x v="5"/>
    <n v="45000"/>
    <x v="0"/>
    <x v="0"/>
    <x v="0"/>
  </r>
  <r>
    <s v="鬧區巷弄中的溫馨住宅  "/>
    <s v="成屋"/>
    <n v="25.11"/>
    <s v="3/4樓"/>
    <s v="3房2廳1衛 "/>
    <s v="新北市蘆洲區正和街  "/>
    <s v="25,000元/月"/>
    <s v="3"/>
    <s v="4"/>
    <x v="0"/>
    <n v="2"/>
    <n v="1"/>
    <s v="新北市蘆洲區正和街  "/>
    <x v="5"/>
    <n v="25000"/>
    <x v="0"/>
    <x v="1"/>
    <x v="1"/>
  </r>
  <r>
    <s v="文創工作室網拍倉庫  "/>
    <s v="成屋"/>
    <n v="58.5"/>
    <s v="B1-1/5樓"/>
    <s v="4房3廳2衛3室 "/>
    <s v="台中市西區福人街  "/>
    <s v="30,000元/月"/>
    <s v="B1-1"/>
    <s v="5"/>
    <x v="2"/>
    <n v="3"/>
    <n v="2"/>
    <s v="台中市西區福人街  "/>
    <x v="2"/>
    <n v="30000"/>
    <x v="2"/>
    <x v="0"/>
    <x v="1"/>
  </r>
  <r>
    <s v="華固晴川綠意４房  "/>
    <s v="成屋"/>
    <n v="71.7"/>
    <s v="2/9樓"/>
    <s v="4房2廳2衛 "/>
    <s v="台北市北投區三合街一段  "/>
    <s v="89,000元/月"/>
    <s v="2"/>
    <s v="9"/>
    <x v="2"/>
    <n v="2"/>
    <n v="2"/>
    <s v="台北市北投區三合街一段  "/>
    <x v="0"/>
    <n v="89000"/>
    <x v="0"/>
    <x v="0"/>
    <x v="1"/>
  </r>
  <r>
    <s v="捷市達稀有高樓層套房Ｂ  "/>
    <s v="成屋"/>
    <n v="12.71"/>
    <s v="20/27樓"/>
    <s v="1房1廳1衛 "/>
    <s v="桃園市龜山區文學路  "/>
    <s v="19,000元/月"/>
    <s v="20"/>
    <s v="27"/>
    <x v="4"/>
    <n v="1"/>
    <n v="1"/>
    <s v="桃園市龜山區文學路  "/>
    <x v="3"/>
    <n v="19000"/>
    <x v="0"/>
    <x v="2"/>
    <x v="2"/>
  </r>
  <r>
    <s v="捷市達稀有高樓層套房Ａ  "/>
    <s v="成屋"/>
    <n v="12.7"/>
    <s v="20/27樓"/>
    <s v="1房1廳1衛 "/>
    <s v="桃園市龜山區文學路  "/>
    <s v="18,500元/月"/>
    <s v="20"/>
    <s v="27"/>
    <x v="4"/>
    <n v="1"/>
    <n v="1"/>
    <s v="桃園市龜山區文學路  "/>
    <x v="3"/>
    <n v="18500"/>
    <x v="0"/>
    <x v="2"/>
    <x v="2"/>
  </r>
  <r>
    <s v="鄰輕軌Ｃ２５四房  "/>
    <s v="成屋"/>
    <n v="39.200000000000003"/>
    <s v="4/17樓"/>
    <s v="4房2廳2衛 "/>
    <s v="高雄市左營區大順一路  "/>
    <s v="25,000元/月"/>
    <s v="4"/>
    <s v="17"/>
    <x v="2"/>
    <n v="2"/>
    <n v="2"/>
    <s v="高雄市左營區大順一路  "/>
    <x v="4"/>
    <n v="25000"/>
    <x v="1"/>
    <x v="0"/>
    <x v="0"/>
  </r>
  <r>
    <s v="金城舞三期２房附車位  "/>
    <s v="成屋"/>
    <n v="29.41"/>
    <s v="11/15樓"/>
    <s v="2房2廳1衛 "/>
    <s v="新北市土城區金城路二段  "/>
    <s v="30,000元/月"/>
    <s v="11"/>
    <s v="15"/>
    <x v="3"/>
    <n v="2"/>
    <n v="1"/>
    <s v="新北市土城區金城路二段  "/>
    <x v="5"/>
    <n v="30000"/>
    <x v="0"/>
    <x v="1"/>
    <x v="0"/>
  </r>
  <r>
    <s v="勝美術稀有高樓２房平車  "/>
    <s v="成屋"/>
    <n v="32.51"/>
    <s v="10/15樓"/>
    <s v="2房2廳1衛 "/>
    <s v="台中市西區大忠南街  "/>
    <s v="28,000元/月"/>
    <s v="10"/>
    <s v="15"/>
    <x v="3"/>
    <n v="2"/>
    <n v="1"/>
    <s v="台中市西區大忠南街  "/>
    <x v="2"/>
    <n v="28000"/>
    <x v="2"/>
    <x v="0"/>
    <x v="0"/>
  </r>
  <r>
    <s v="北大愛樂４房溫馨美屋  "/>
    <s v="成屋"/>
    <n v="48.42"/>
    <s v="10/28樓"/>
    <s v="4房2廳2衛 "/>
    <s v="新竹市新竹市北大路  "/>
    <s v="40,000元/月"/>
    <s v="10"/>
    <s v="28"/>
    <x v="2"/>
    <n v="2"/>
    <n v="2"/>
    <s v="新竹市新竹市北大路  "/>
    <x v="7"/>
    <n v="40000"/>
    <x v="0"/>
    <x v="0"/>
    <x v="2"/>
  </r>
  <r>
    <s v="近巨城北大愛樂景觀戶  "/>
    <s v="成屋"/>
    <n v="37.35"/>
    <s v="28/28樓"/>
    <s v="3房2廳2衛 "/>
    <s v="北大愛樂 / 新竹市新竹市北大路  "/>
    <s v="40,000元/月"/>
    <s v="28"/>
    <s v="28"/>
    <x v="0"/>
    <n v="2"/>
    <n v="2"/>
    <s v=" 新竹市新竹市北大路  "/>
    <x v="7"/>
    <n v="40000"/>
    <x v="0"/>
    <x v="0"/>
    <x v="2"/>
  </r>
  <r>
    <s v="潮尚居高樓三房平車可租補  "/>
    <s v="成屋"/>
    <n v="49.29"/>
    <s v="11/19樓"/>
    <s v="3房2廳2衛 "/>
    <s v="台中市西屯區黎明路三段  "/>
    <s v="35,000元/月"/>
    <s v="11"/>
    <s v="19"/>
    <x v="0"/>
    <n v="2"/>
    <n v="2"/>
    <s v="台中市西屯區黎明路三段  "/>
    <x v="2"/>
    <n v="35000"/>
    <x v="2"/>
    <x v="0"/>
    <x v="0"/>
  </r>
  <r>
    <s v="潮尚居高樓層三房平車好屋  "/>
    <s v="成屋"/>
    <n v="49.29"/>
    <s v="17/19樓"/>
    <s v="3房2廳2衛 "/>
    <s v="台中市西屯區黎明路三段  "/>
    <s v="45,000元/月"/>
    <s v="17"/>
    <s v="19"/>
    <x v="0"/>
    <n v="2"/>
    <n v="2"/>
    <s v="台中市西屯區黎明路三段  "/>
    <x v="2"/>
    <n v="45000"/>
    <x v="2"/>
    <x v="0"/>
    <x v="0"/>
  </r>
  <r>
    <s v="遠雄首府三房車位  "/>
    <s v="成屋"/>
    <n v="36.840000000000003"/>
    <s v="3/13樓"/>
    <s v="3房2廳1衛 "/>
    <s v="遠雄首府 / 台北市中山區林森北路  "/>
    <s v="68,300元/月"/>
    <s v="3"/>
    <s v="13"/>
    <x v="0"/>
    <n v="2"/>
    <n v="1"/>
    <s v=" 台北市中山區林森北路  "/>
    <x v="0"/>
    <n v="68300"/>
    <x v="0"/>
    <x v="0"/>
    <x v="0"/>
  </r>
  <r>
    <s v="賽茵斯面園道三房平車  "/>
    <s v="成屋"/>
    <n v="59.54"/>
    <s v="12/29樓"/>
    <s v="3房2廳2衛 "/>
    <s v="台中市西區館前路  "/>
    <s v="41,000元/月"/>
    <s v="12"/>
    <s v="29"/>
    <x v="0"/>
    <n v="2"/>
    <n v="2"/>
    <s v="台中市西區館前路  "/>
    <x v="2"/>
    <n v="41000"/>
    <x v="2"/>
    <x v="0"/>
    <x v="2"/>
  </r>
  <r>
    <s v="利融藏御全新採光三房  "/>
    <s v="成屋"/>
    <n v="45.01"/>
    <s v="8/15樓"/>
    <s v="3房2廳2衛 "/>
    <s v="高雄市新興區復橫一路  "/>
    <s v="28,000元/月"/>
    <s v="8"/>
    <s v="15"/>
    <x v="0"/>
    <n v="2"/>
    <n v="2"/>
    <s v="高雄市新興區復橫一路  "/>
    <x v="4"/>
    <n v="28000"/>
    <x v="1"/>
    <x v="0"/>
    <x v="0"/>
  </r>
  <r>
    <s v="國安國宅大三房  "/>
    <s v="成屋"/>
    <n v="41.83"/>
    <s v="7/12樓"/>
    <s v="3房2廳2衛 "/>
    <s v="台中市西屯區國安一路  "/>
    <s v="20,000元/月"/>
    <s v="7"/>
    <s v="12"/>
    <x v="0"/>
    <n v="2"/>
    <n v="2"/>
    <s v="台中市西屯區國安一路  "/>
    <x v="2"/>
    <n v="20000"/>
    <x v="2"/>
    <x v="0"/>
    <x v="0"/>
  </r>
  <r>
    <s v="東方巨人景觀４房雙平車  "/>
    <s v="成屋"/>
    <n v="80.209999999999994"/>
    <s v="15/25樓"/>
    <s v="4房2廳2衛 "/>
    <s v="台南市東區長榮路一段  "/>
    <s v="40,000元/月"/>
    <s v="15"/>
    <s v="25"/>
    <x v="2"/>
    <n v="2"/>
    <n v="2"/>
    <s v="台南市東區長榮路一段  "/>
    <x v="1"/>
    <n v="40000"/>
    <x v="1"/>
    <x v="0"/>
    <x v="2"/>
  </r>
  <r>
    <s v="南勢角捷運一品大三房  "/>
    <s v="成屋"/>
    <n v="40.53"/>
    <s v="11/18樓"/>
    <s v="3房2廳2衛 "/>
    <s v="新北市中和區四維街  "/>
    <s v="37,000元/月"/>
    <s v="11"/>
    <s v="18"/>
    <x v="0"/>
    <n v="2"/>
    <n v="2"/>
    <s v="新北市中和區四維街  "/>
    <x v="5"/>
    <n v="37000"/>
    <x v="0"/>
    <x v="0"/>
    <x v="0"/>
  </r>
  <r>
    <s v="景觀四房雙主臥潤泰峰左岸  "/>
    <s v="成屋"/>
    <n v="63.1"/>
    <s v="22/27樓"/>
    <s v="4房2廳3衛 "/>
    <s v="新北市三重區疏洪西路  "/>
    <s v="69,800元/月"/>
    <s v="22"/>
    <s v="27"/>
    <x v="2"/>
    <n v="2"/>
    <n v="3"/>
    <s v="新北市三重區疏洪西路  "/>
    <x v="5"/>
    <n v="69800"/>
    <x v="0"/>
    <x v="0"/>
    <x v="2"/>
  </r>
  <r>
    <s v="潤泰峰左岸景觀三房豪宅  "/>
    <s v="成屋"/>
    <n v="42.65"/>
    <s v="22/27樓"/>
    <s v="3房2廳2衛 "/>
    <s v="新北市三重區疏洪西路  "/>
    <s v="46,800元/月"/>
    <s v="22"/>
    <s v="27"/>
    <x v="0"/>
    <n v="2"/>
    <n v="2"/>
    <s v="新北市三重區疏洪西路  "/>
    <x v="5"/>
    <n v="46800"/>
    <x v="0"/>
    <x v="0"/>
    <x v="2"/>
  </r>
  <r>
    <s v="微風旁邊間招牌工作室  "/>
    <s v="成屋"/>
    <n v="9.1300000000000008"/>
    <s v="2/6樓"/>
    <s v="1廳1衛 "/>
    <s v="台北市松山區八德路二段  "/>
    <s v="23,000元/月"/>
    <s v="2"/>
    <s v="6"/>
    <x v="7"/>
    <n v="1"/>
    <n v="1"/>
    <s v="台北市松山區八德路二段  "/>
    <x v="0"/>
    <n v="23000"/>
    <x v="0"/>
    <x v="2"/>
    <x v="1"/>
  </r>
  <r>
    <s v="城峰匯  "/>
    <s v="成屋"/>
    <n v="55.62"/>
    <s v="16/23樓"/>
    <s v="3房2廳2衛 "/>
    <s v="新竹縣竹北市莊敬五街  "/>
    <s v="34,000元/月"/>
    <s v="16"/>
    <s v="23"/>
    <x v="0"/>
    <n v="2"/>
    <n v="2"/>
    <s v="新竹縣竹北市莊敬五街  "/>
    <x v="6"/>
    <n v="34000"/>
    <x v="0"/>
    <x v="0"/>
    <x v="2"/>
  </r>
  <r>
    <s v="麟光站大空間３房美寓  "/>
    <s v="成屋"/>
    <n v="35.94"/>
    <s v="5/5樓"/>
    <s v="3房2廳1.5衛 "/>
    <s v="台北市信義區和平東路三段  "/>
    <s v="32,000元/月"/>
    <s v="5"/>
    <s v="5"/>
    <x v="0"/>
    <n v="2"/>
    <n v="5"/>
    <s v="台北市信義區和平東路三段  "/>
    <x v="0"/>
    <n v="32000"/>
    <x v="0"/>
    <x v="0"/>
    <x v="1"/>
  </r>
  <r>
    <s v="齊賞２房＋車位  "/>
    <s v="成屋"/>
    <n v="35.79"/>
    <s v="2/12樓"/>
    <s v="2房1廳1衛 "/>
    <s v="新北市三重區成功二街  "/>
    <s v="33,000元/月"/>
    <s v="2"/>
    <s v="12"/>
    <x v="3"/>
    <n v="1"/>
    <n v="1"/>
    <s v="新北市三重區成功二街  "/>
    <x v="5"/>
    <n v="33000"/>
    <x v="0"/>
    <x v="0"/>
    <x v="0"/>
  </r>
  <r>
    <s v="萬囍兩房品味美屋  "/>
    <s v="成屋"/>
    <n v="58.42"/>
    <s v="6/23樓"/>
    <s v="2房2廳2衛 "/>
    <s v="台北市萬華區德昌街  "/>
    <s v="69,000元/月"/>
    <s v="6"/>
    <s v="23"/>
    <x v="3"/>
    <n v="2"/>
    <n v="2"/>
    <s v="台北市萬華區德昌街  "/>
    <x v="0"/>
    <n v="69000"/>
    <x v="0"/>
    <x v="0"/>
    <x v="4"/>
  </r>
  <r>
    <s v="高醫商圈舒適３房（含管）  "/>
    <s v="成屋"/>
    <n v="42.97"/>
    <s v="16/26樓"/>
    <s v="3房2廳2衛 "/>
    <s v="高雄市三民區慶雲街  "/>
    <s v="18,500元/月"/>
    <s v="16"/>
    <s v="26"/>
    <x v="0"/>
    <n v="2"/>
    <n v="2"/>
    <s v="高雄市三民區慶雲街  "/>
    <x v="4"/>
    <n v="18500"/>
    <x v="1"/>
    <x v="0"/>
    <x v="2"/>
  </r>
  <r>
    <s v="近成大＿帝心明亮三房平車  "/>
    <s v="成屋"/>
    <n v="38.89"/>
    <s v="5/14樓"/>
    <s v="3房2廳2衛 "/>
    <s v="台南市東區崇善路  "/>
    <s v="26,000元/月"/>
    <s v="5"/>
    <s v="14"/>
    <x v="0"/>
    <n v="2"/>
    <n v="2"/>
    <s v="台南市東區崇善路  "/>
    <x v="1"/>
    <n v="26000"/>
    <x v="1"/>
    <x v="0"/>
    <x v="0"/>
  </r>
  <r>
    <s v="永建國小公寓３樓  "/>
    <s v="成屋"/>
    <n v="24.43"/>
    <s v="3/4樓"/>
    <s v="3房2廳1衛 "/>
    <s v="台北市文山區辛亥路七段  "/>
    <s v="23,000元/月"/>
    <s v="3"/>
    <s v="4"/>
    <x v="0"/>
    <n v="2"/>
    <n v="1"/>
    <s v="台北市文山區辛亥路七段  "/>
    <x v="0"/>
    <n v="23000"/>
    <x v="0"/>
    <x v="1"/>
    <x v="1"/>
  </r>
  <r>
    <s v="明日耀美二房車  "/>
    <s v="成屋"/>
    <n v="38.39"/>
    <s v="13/15樓"/>
    <s v="2房2廳1衛 "/>
    <s v="桃園市八德區中華路  "/>
    <s v="23,000元/月"/>
    <s v="13"/>
    <s v="15"/>
    <x v="3"/>
    <n v="2"/>
    <n v="1"/>
    <s v="桃園市八德區中華路  "/>
    <x v="3"/>
    <n v="23000"/>
    <x v="0"/>
    <x v="0"/>
    <x v="0"/>
  </r>
  <r>
    <s v="古亭捷運管理大樓  "/>
    <s v="成屋"/>
    <n v="13.32"/>
    <s v="10/15樓"/>
    <s v="1房1廳1衛 "/>
    <s v="台北市中正區羅斯福路二段  "/>
    <s v="25,000元/月"/>
    <s v="10"/>
    <s v="15"/>
    <x v="4"/>
    <n v="1"/>
    <n v="1"/>
    <s v="台北市中正區羅斯福路二段  "/>
    <x v="0"/>
    <n v="25000"/>
    <x v="0"/>
    <x v="2"/>
    <x v="0"/>
  </r>
  <r>
    <s v="太陽城溫馨電梯分租套房  "/>
    <s v="成屋"/>
    <n v="10"/>
    <s v="6/15樓"/>
    <s v="1房1廳1衛 "/>
    <s v="新北市土城區中央路四段  "/>
    <s v="13,000元/月"/>
    <s v="6"/>
    <s v="15"/>
    <x v="4"/>
    <n v="1"/>
    <n v="1"/>
    <s v="新北市土城區中央路四段  "/>
    <x v="5"/>
    <n v="13000"/>
    <x v="0"/>
    <x v="2"/>
    <x v="0"/>
  </r>
  <r>
    <s v="汐止採光佳整層  "/>
    <s v="成屋"/>
    <n v="23.18"/>
    <s v="4/5樓"/>
    <s v="2房2廳1衛 "/>
    <s v="新北市汐止區民族五街  "/>
    <s v="19,000元/月"/>
    <s v="4"/>
    <s v="5"/>
    <x v="3"/>
    <n v="2"/>
    <n v="1"/>
    <s v="新北市汐止區民族五街  "/>
    <x v="5"/>
    <n v="19000"/>
    <x v="0"/>
    <x v="1"/>
    <x v="1"/>
  </r>
  <r>
    <s v="＊捷運之星＊含車含管美宅  "/>
    <s v="成屋"/>
    <n v="26.44"/>
    <s v="7/15樓"/>
    <s v="1房2廳1衛 "/>
    <s v="高雄市楠梓區後昌路  "/>
    <s v="18,000元/月"/>
    <s v="7"/>
    <s v="15"/>
    <x v="4"/>
    <n v="2"/>
    <n v="1"/>
    <s v="高雄市楠梓區後昌路  "/>
    <x v="4"/>
    <n v="18000"/>
    <x v="1"/>
    <x v="1"/>
    <x v="0"/>
  </r>
  <r>
    <s v="近園區璞石兩房附傢俱電  "/>
    <s v="成屋"/>
    <n v="25.67"/>
    <s v="4/12樓"/>
    <s v="2房2廳1衛 "/>
    <s v="新竹市新竹市光復路一段  "/>
    <s v="25,000元/月"/>
    <s v="4"/>
    <s v="12"/>
    <x v="3"/>
    <n v="2"/>
    <n v="1"/>
    <s v="新竹市新竹市光復路一段  "/>
    <x v="7"/>
    <n v="25000"/>
    <x v="0"/>
    <x v="1"/>
    <x v="0"/>
  </r>
  <r>
    <s v="真喜歡富春居附車位傢俱電  "/>
    <s v="成屋"/>
    <n v="37.6"/>
    <s v="19/21樓"/>
    <s v="2房2廳2衛1室 "/>
    <s v="新竹市新竹市慈濟路  "/>
    <s v="38,000元/月"/>
    <s v="19"/>
    <s v="21"/>
    <x v="3"/>
    <n v="2"/>
    <n v="2"/>
    <s v="新竹市新竹市慈濟路  "/>
    <x v="7"/>
    <n v="38000"/>
    <x v="0"/>
    <x v="0"/>
    <x v="2"/>
  </r>
  <r>
    <s v="泉源清幽漂亮兩房  "/>
    <s v="成屋"/>
    <n v="20.170000000000002"/>
    <s v="2/7樓"/>
    <s v="2房2廳1衛 "/>
    <s v="台北市北投區泉源路  "/>
    <s v="21,000元/月"/>
    <s v="2"/>
    <s v="7"/>
    <x v="3"/>
    <n v="2"/>
    <n v="1"/>
    <s v="台北市北投區泉源路  "/>
    <x v="0"/>
    <n v="21000"/>
    <x v="0"/>
    <x v="1"/>
    <x v="1"/>
  </r>
  <r>
    <s v="亞灣悅然質感三房車位  "/>
    <s v="成屋"/>
    <n v="73.36"/>
    <s v="3/29樓"/>
    <s v="3房2廳2衛 "/>
    <s v="高雄市前鎮區中山二路  "/>
    <s v="58,000元/月"/>
    <s v="3"/>
    <s v="29"/>
    <x v="0"/>
    <n v="2"/>
    <n v="2"/>
    <s v="高雄市前鎮區中山二路  "/>
    <x v="4"/>
    <n v="58000"/>
    <x v="1"/>
    <x v="0"/>
    <x v="2"/>
  </r>
  <r>
    <s v="大任凱悅採光好視野好美  "/>
    <s v="成屋"/>
    <n v="9.4700000000000006"/>
    <s v="5/7樓"/>
    <s v="1房1廳1衛(含加蓋 1房) "/>
    <s v="新竹縣竹北市縣政七街  "/>
    <s v="15,000元/月"/>
    <s v="5"/>
    <s v="7"/>
    <x v="4"/>
    <n v="1"/>
    <n v="1"/>
    <s v="新竹縣竹北市縣政七街  "/>
    <x v="6"/>
    <n v="15000"/>
    <x v="0"/>
    <x v="2"/>
    <x v="1"/>
  </r>
  <r>
    <s v="新東方溫馨四房  "/>
    <s v="成屋"/>
    <n v="54.62"/>
    <s v="6/14樓"/>
    <s v="4房2廳2衛 "/>
    <s v="新竹縣竹北市復興七路  "/>
    <s v="36,000元/月"/>
    <s v="6"/>
    <s v="14"/>
    <x v="2"/>
    <n v="2"/>
    <n v="2"/>
    <s v="新竹縣竹北市復興七路  "/>
    <x v="6"/>
    <n v="36000"/>
    <x v="0"/>
    <x v="0"/>
    <x v="0"/>
  </r>
  <r>
    <s v="新市國小旁‧新浦東好租房  "/>
    <s v="成屋"/>
    <n v="27.32"/>
    <s v="9/15樓"/>
    <s v="1房2廳1衛 "/>
    <s v="新北市淡水區新市一路三段  "/>
    <s v="19,500元/月"/>
    <s v="9"/>
    <s v="15"/>
    <x v="4"/>
    <n v="2"/>
    <n v="1"/>
    <s v="新北市淡水區新市一路三段  "/>
    <x v="5"/>
    <n v="19500"/>
    <x v="0"/>
    <x v="1"/>
    <x v="0"/>
  </r>
  <r>
    <s v="近淡水捷運站溫馨三房  "/>
    <s v="成屋"/>
    <n v="27.28"/>
    <s v="4/5樓"/>
    <s v="3房2廳1衛 "/>
    <s v="新北市淡水區平遠街  "/>
    <s v="18,000元/月"/>
    <s v="4"/>
    <s v="5"/>
    <x v="0"/>
    <n v="2"/>
    <n v="1"/>
    <s v="新北市淡水區平遠街  "/>
    <x v="5"/>
    <n v="18000"/>
    <x v="0"/>
    <x v="1"/>
    <x v="1"/>
  </r>
  <r>
    <s v="正東興路二段！挑高店面  "/>
    <s v="成屋"/>
    <n v="40.04"/>
    <s v="1/16樓"/>
    <s v="2房2廳1衛 "/>
    <s v="台中市南屯區東興路二段  "/>
    <s v="35,000元/月"/>
    <s v="1"/>
    <s v="16"/>
    <x v="3"/>
    <n v="2"/>
    <n v="1"/>
    <s v="台中市南屯區東興路二段  "/>
    <x v="2"/>
    <n v="35000"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C0B064-0127-4D38-A279-54800654FE29}" name="樞紐分析表16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compact="0" compactData="0" multipleFieldFilters="0">
  <location ref="A3:D7" firstHeaderRow="0" firstDataRow="1" firstDataCol="1"/>
  <pivotFields count="1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x="0"/>
        <item x="2"/>
        <item x="1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5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計數" fld="14" subtotal="count" baseField="0" baseItem="0"/>
    <dataField name="平均租金" fld="14" subtotal="average" baseField="0" baseItem="0" numFmtId="6"/>
    <dataField name="加總 - 一坪平均租金" fld="18" baseField="0" baseItem="0" numFmtId="6"/>
  </dataFields>
  <formats count="1">
    <format dxfId="0">
      <pivotArea outline="0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64F8D-F4B1-4B7D-ACCB-DB5D4DBE56E5}" name="樞紐分析表3" cacheId="0" applyNumberFormats="0" applyBorderFormats="0" applyFontFormats="0" applyPatternFormats="0" applyAlignmentFormats="0" applyWidthHeightFormats="1" dataCaption="值" showError="1" updatedVersion="8" minRefreshableVersion="3" useAutoFormatting="1" itemPrintTitles="1" createdVersion="8" indent="0" compact="0" compactData="0" multipleFieldFilters="0">
  <location ref="S3:X22" firstHeaderRow="1" firstDataRow="2" firstDataCol="2"/>
  <pivotFields count="1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5">
        <item x="4"/>
        <item x="3"/>
        <item x="0"/>
        <item x="2"/>
        <item x="5"/>
        <item h="1" x="6"/>
        <item h="1" x="1"/>
        <item h="1" x="7"/>
        <item h="1" m="1" x="8"/>
        <item h="1" m="1" x="9"/>
        <item h="1" m="1" x="13"/>
        <item h="1" m="1" x="12"/>
        <item h="1" m="1" x="11"/>
        <item h="1" m="1"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x="0"/>
        <item x="2"/>
        <item x="1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4"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5"/>
    <field x="9"/>
  </rowFields>
  <rowItems count="18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r="1">
      <x v="4"/>
    </i>
    <i t="default">
      <x v="1"/>
    </i>
    <i>
      <x v="2"/>
      <x/>
    </i>
    <i r="1">
      <x v="1"/>
    </i>
    <i r="1">
      <x v="2"/>
    </i>
    <i r="1">
      <x v="3"/>
    </i>
    <i r="1">
      <x v="4"/>
    </i>
    <i t="default">
      <x v="2"/>
    </i>
    <i t="grand">
      <x/>
    </i>
  </rowItems>
  <colFields count="1">
    <field x="16"/>
  </colFields>
  <colItems count="4">
    <i>
      <x/>
    </i>
    <i>
      <x v="1"/>
    </i>
    <i>
      <x v="2"/>
    </i>
    <i t="grand">
      <x/>
    </i>
  </colItems>
  <dataFields count="1">
    <dataField name="一坪租金" fld="18" baseField="0" baseItem="0" numFmtId="8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8ADC63-6C0C-4E83-BDAD-46EA98B306F3}" name="樞紐分析表2" cacheId="0" applyNumberFormats="0" applyBorderFormats="0" applyFontFormats="0" applyPatternFormats="0" applyAlignmentFormats="0" applyWidthHeightFormats="1" dataCaption="值" updatedVersion="8" minRefreshableVersion="3" itemPrintTitles="1" createdVersion="8" indent="0" compact="0" compactData="0" multipleFieldFilters="0" chartFormat="11">
  <location ref="O3:Q18" firstHeaderRow="1" firstDataRow="1" firstDataCol="2"/>
  <pivotFields count="1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>
      <items count="5">
        <item m="1" x="3"/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">
        <item x="1"/>
        <item x="0"/>
        <item x="2"/>
        <item x="3"/>
        <item x="4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5"/>
    <field x="17"/>
  </rowFields>
  <rowItems count="15">
    <i>
      <x v="1"/>
      <x/>
    </i>
    <i r="1">
      <x v="1"/>
    </i>
    <i r="1">
      <x v="2"/>
    </i>
    <i r="1">
      <x v="4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/>
    </i>
    <i r="1">
      <x v="1"/>
    </i>
    <i r="1">
      <x v="2"/>
    </i>
    <i t="default">
      <x v="3"/>
    </i>
    <i t="grand">
      <x/>
    </i>
  </rowItems>
  <colItems count="1">
    <i/>
  </colItems>
  <dataFields count="1">
    <dataField name="加總 - 一坪平均租金" fld="18" baseField="0" baseItem="0"/>
  </dataFields>
  <formats count="1">
    <format dxfId="2">
      <pivotArea outline="0" collapsedLevelsAreSubtotals="1" fieldPosition="0"/>
    </format>
  </formats>
  <chartFormats count="1">
    <chartFormat chart="7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79A1F-9841-443D-80F0-27B0507143F4}" name="樞紐分析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compact="0" compactData="0" multipleFieldFilters="0" chartFormat="4">
  <location ref="K3:M16" firstHeaderRow="1" firstDataRow="1" firstDataCol="2"/>
  <pivotFields count="1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>
      <items count="5">
        <item m="1" x="3"/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nonAutoSortDefault="1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5"/>
    <field x="16"/>
  </rowFields>
  <rowItems count="13">
    <i>
      <x v="1"/>
      <x/>
    </i>
    <i r="1">
      <x v="1"/>
    </i>
    <i r="1">
      <x v="2"/>
    </i>
    <i t="default">
      <x v="1"/>
    </i>
    <i>
      <x v="2"/>
      <x/>
    </i>
    <i r="1">
      <x v="1"/>
    </i>
    <i r="1">
      <x v="2"/>
    </i>
    <i t="default">
      <x v="2"/>
    </i>
    <i>
      <x v="3"/>
      <x/>
    </i>
    <i r="1">
      <x v="1"/>
    </i>
    <i r="1">
      <x v="2"/>
    </i>
    <i t="default">
      <x v="3"/>
    </i>
    <i t="grand">
      <x/>
    </i>
  </rowItems>
  <colItems count="1">
    <i/>
  </colItems>
  <dataFields count="1">
    <dataField name="一坪租金" fld="18" baseField="0" baseItem="0"/>
  </dataFields>
  <formats count="1">
    <format dxfId="3">
      <pivotArea outline="0" collapsedLevelsAreSubtotals="1" fieldPosition="0"/>
    </format>
  </formats>
  <chartFormats count="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24CFF6-86DC-459D-B071-52967FBFB288}" name="樞紐分析表4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compact="0" compactData="0" multipleFieldFilters="0" chartFormat="4">
  <location ref="F3:I15" firstHeaderRow="0" firstDataRow="1" firstDataCol="2"/>
  <pivotFields count="1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5">
        <item x="2"/>
        <item x="0"/>
        <item x="1"/>
        <item x="3"/>
        <item x="4"/>
        <item x="5"/>
        <item x="7"/>
        <item x="6"/>
        <item m="1" x="8"/>
        <item m="1" x="13"/>
        <item m="1" x="10"/>
        <item m="1" x="12"/>
        <item m="1" x="9"/>
        <item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x="0"/>
        <item x="2"/>
        <item x="1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5"/>
    <field x="13"/>
  </rowFields>
  <rowItems count="12">
    <i>
      <x/>
      <x v="1"/>
    </i>
    <i r="1">
      <x v="3"/>
    </i>
    <i r="1">
      <x v="5"/>
    </i>
    <i r="1">
      <x v="6"/>
    </i>
    <i r="1">
      <x v="7"/>
    </i>
    <i t="default">
      <x/>
    </i>
    <i>
      <x v="1"/>
      <x/>
    </i>
    <i t="default">
      <x v="1"/>
    </i>
    <i>
      <x v="2"/>
      <x v="2"/>
    </i>
    <i r="1">
      <x v="4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平均租金" fld="14" subtotal="average" baseField="0" baseItem="0"/>
    <dataField name="一坪租金" fld="18" baseField="0" baseItem="0"/>
  </dataFields>
  <formats count="1">
    <format dxfId="4">
      <pivotArea outline="0" collapsedLevelsAreSubtotals="1" fieldPosition="0"/>
    </format>
  </formats>
  <chartFormats count="2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區" xr10:uid="{A07FEBC9-1F3E-4883-BD2D-5CA7E358AC7C}" sourceName="區">
  <pivotTables>
    <pivotTable tabId="32" name="樞紐分析表4"/>
    <pivotTable tabId="32" name="樞紐分析表1"/>
    <pivotTable tabId="32" name="樞紐分析表16"/>
    <pivotTable tabId="32" name="樞紐分析表2"/>
    <pivotTable tabId="32" name="樞紐分析表3"/>
  </pivotTables>
  <data>
    <tabular pivotCacheId="188097802">
      <items count="4">
        <i x="0" s="1"/>
        <i x="2" s="1"/>
        <i x="1" s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區" xr10:uid="{96446B21-8B3A-42E4-8A3A-D84564B403B3}" cache="Slicer_區" caption="區" style="SlicerStyleLight6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C3B43A-CBA8-40EE-B8C7-5858E0EDCEE3}" name="tbl_rent" displayName="tbl_rent_1" ref="A1:R201" totalsRowShown="0">
  <autoFilter ref="A1:R201" xr:uid="{50C3B43A-CBA8-40EE-B8C7-5858E0EDCEE3}"/>
  <tableColumns count="18">
    <tableColumn id="1" xr3:uid="{EF9591B9-8ED3-421F-8899-95FDFD3FF78E}" name="物業名稱"/>
    <tableColumn id="2" xr3:uid="{72A4A4CE-16F9-4DD1-8B30-05051E46E41D}" name="物業類型"/>
    <tableColumn id="3" xr3:uid="{3D5722C6-5C15-4C44-9C59-6E2DA5784526}" name="坪數"/>
    <tableColumn id="4" xr3:uid="{E710F650-5B7F-4617-B368-C5602FE1A0D9}" name="樓層"/>
    <tableColumn id="5" xr3:uid="{531AE017-3360-4458-8F01-ECFD6C0DABE1}" name="格局"/>
    <tableColumn id="6" xr3:uid="{EFC88FA7-1A0C-4E69-BB18-E43C2ABAAC66}" name="原始地址"/>
    <tableColumn id="7" xr3:uid="{BBC38262-F59F-475F-A4BA-35AB634BBBDC}" name="租金(月)"/>
    <tableColumn id="8" xr3:uid="{1B839211-CEB4-4610-BBFD-9648C7AA4204}" name="實際樓層"/>
    <tableColumn id="9" xr3:uid="{62E6B373-A9FF-489D-8E03-515209AC2210}" name="最高樓層"/>
    <tableColumn id="10" xr3:uid="{4337E084-95D6-47D2-A2BB-5FF1545229E0}" name="房"/>
    <tableColumn id="11" xr3:uid="{BC929008-C056-4E0A-94A5-223D356346FD}" name="廳"/>
    <tableColumn id="12" xr3:uid="{FF4F8BCE-2AA1-4D7A-82CB-EAFF3100004C}" name="衛"/>
    <tableColumn id="13" xr3:uid="{D8D84D39-9661-4155-98C7-1C988DE67500}" name="標準地址"/>
    <tableColumn id="14" xr3:uid="{B9A8C707-B078-42EF-B3C0-7F88CCF4D0D6}" name="縣市"/>
    <tableColumn id="15" xr3:uid="{2B639AEB-08F1-4660-9589-18724433CC81}" name="租金"/>
    <tableColumn id="16" xr3:uid="{411E5D10-5DBE-4B0D-9580-E6849FF3C845}" name="區"/>
    <tableColumn id="17" xr3:uid="{AEC4A211-847D-4861-8A18-20599B8D4F75}" name="坪數分級"/>
    <tableColumn id="18" xr3:uid="{EA298976-1F64-4916-95DE-EEDEDD6D138D}" name="樓層分級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81609B-B20A-4EDA-819D-1CDABA420488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sinyi.com.tw/rent/houseno/C336915" TargetMode="External"/><Relationship Id="rId21" Type="http://schemas.openxmlformats.org/officeDocument/2006/relationships/hyperlink" Target="https://www.sinyi.com.tw/rent/houseno/C333419" TargetMode="External"/><Relationship Id="rId42" Type="http://schemas.openxmlformats.org/officeDocument/2006/relationships/hyperlink" Target="https://www.sinyi.com.tw/rent/houseno/C348015" TargetMode="External"/><Relationship Id="rId63" Type="http://schemas.openxmlformats.org/officeDocument/2006/relationships/hyperlink" Target="https://www.sinyi.com.tw/rent/houseno/C353767" TargetMode="External"/><Relationship Id="rId84" Type="http://schemas.openxmlformats.org/officeDocument/2006/relationships/hyperlink" Target="https://www.sinyi.com.tw/rent/houseno/C356371" TargetMode="External"/><Relationship Id="rId138" Type="http://schemas.openxmlformats.org/officeDocument/2006/relationships/hyperlink" Target="https://www.sinyi.com.tw/rent/houseno/C346516" TargetMode="External"/><Relationship Id="rId159" Type="http://schemas.openxmlformats.org/officeDocument/2006/relationships/hyperlink" Target="https://www.sinyi.com.tw/rent/houseno/C348046" TargetMode="External"/><Relationship Id="rId170" Type="http://schemas.openxmlformats.org/officeDocument/2006/relationships/hyperlink" Target="https://www.sinyi.com.tw/rent/houseno/C353782" TargetMode="External"/><Relationship Id="rId191" Type="http://schemas.openxmlformats.org/officeDocument/2006/relationships/hyperlink" Target="https://www.sinyi.com.tw/rent/houseno/C346316" TargetMode="External"/><Relationship Id="rId107" Type="http://schemas.openxmlformats.org/officeDocument/2006/relationships/hyperlink" Target="https://www.sinyi.com.tw/rent/houseno/C352674" TargetMode="External"/><Relationship Id="rId11" Type="http://schemas.openxmlformats.org/officeDocument/2006/relationships/hyperlink" Target="https://www.sinyi.com.tw/rent/houseno/C352279" TargetMode="External"/><Relationship Id="rId32" Type="http://schemas.openxmlformats.org/officeDocument/2006/relationships/hyperlink" Target="https://www.sinyi.com.tw/rent/houseno/C344304" TargetMode="External"/><Relationship Id="rId53" Type="http://schemas.openxmlformats.org/officeDocument/2006/relationships/hyperlink" Target="https://www.sinyi.com.tw/rent/houseno/C351387" TargetMode="External"/><Relationship Id="rId74" Type="http://schemas.openxmlformats.org/officeDocument/2006/relationships/hyperlink" Target="https://www.sinyi.com.tw/rent/houseno/C356502" TargetMode="External"/><Relationship Id="rId128" Type="http://schemas.openxmlformats.org/officeDocument/2006/relationships/hyperlink" Target="https://www.sinyi.com.tw/rent/houseno/C348585" TargetMode="External"/><Relationship Id="rId149" Type="http://schemas.openxmlformats.org/officeDocument/2006/relationships/hyperlink" Target="https://www.sinyi.com.tw/rent/houseno/C335632" TargetMode="External"/><Relationship Id="rId5" Type="http://schemas.openxmlformats.org/officeDocument/2006/relationships/hyperlink" Target="https://www.sinyi.com.tw/rent/houseno/C345465" TargetMode="External"/><Relationship Id="rId95" Type="http://schemas.openxmlformats.org/officeDocument/2006/relationships/hyperlink" Target="https://www.sinyi.com.tw/rent/houseno/C346173" TargetMode="External"/><Relationship Id="rId160" Type="http://schemas.openxmlformats.org/officeDocument/2006/relationships/hyperlink" Target="https://www.sinyi.com.tw/rent/houseno/C358450" TargetMode="External"/><Relationship Id="rId181" Type="http://schemas.openxmlformats.org/officeDocument/2006/relationships/hyperlink" Target="https://www.sinyi.com.tw/rent/houseno/C353704" TargetMode="External"/><Relationship Id="rId22" Type="http://schemas.openxmlformats.org/officeDocument/2006/relationships/hyperlink" Target="https://www.sinyi.com.tw/rent/houseno/C339564" TargetMode="External"/><Relationship Id="rId43" Type="http://schemas.openxmlformats.org/officeDocument/2006/relationships/hyperlink" Target="https://www.sinyi.com.tw/rent/houseno/C348662" TargetMode="External"/><Relationship Id="rId64" Type="http://schemas.openxmlformats.org/officeDocument/2006/relationships/hyperlink" Target="https://www.sinyi.com.tw/rent/houseno/C353861" TargetMode="External"/><Relationship Id="rId118" Type="http://schemas.openxmlformats.org/officeDocument/2006/relationships/hyperlink" Target="https://www.sinyi.com.tw/rent/houseno/C352893" TargetMode="External"/><Relationship Id="rId139" Type="http://schemas.openxmlformats.org/officeDocument/2006/relationships/hyperlink" Target="https://www.sinyi.com.tw/rent/houseno/C342358" TargetMode="External"/><Relationship Id="rId85" Type="http://schemas.openxmlformats.org/officeDocument/2006/relationships/hyperlink" Target="https://www.sinyi.com.tw/rent/houseno/C347480" TargetMode="External"/><Relationship Id="rId150" Type="http://schemas.openxmlformats.org/officeDocument/2006/relationships/hyperlink" Target="https://www.sinyi.com.tw/rent/houseno/C905030" TargetMode="External"/><Relationship Id="rId171" Type="http://schemas.openxmlformats.org/officeDocument/2006/relationships/hyperlink" Target="https://www.sinyi.com.tw/rent/houseno/C358224" TargetMode="External"/><Relationship Id="rId192" Type="http://schemas.openxmlformats.org/officeDocument/2006/relationships/hyperlink" Target="https://www.sinyi.com.tw/rent/houseno/C351190" TargetMode="External"/><Relationship Id="rId12" Type="http://schemas.openxmlformats.org/officeDocument/2006/relationships/hyperlink" Target="https://www.sinyi.com.tw/rent/houseno/C352625" TargetMode="External"/><Relationship Id="rId33" Type="http://schemas.openxmlformats.org/officeDocument/2006/relationships/hyperlink" Target="https://www.sinyi.com.tw/rent/houseno/C344610" TargetMode="External"/><Relationship Id="rId108" Type="http://schemas.openxmlformats.org/officeDocument/2006/relationships/hyperlink" Target="https://www.sinyi.com.tw/rent/houseno/C340818" TargetMode="External"/><Relationship Id="rId129" Type="http://schemas.openxmlformats.org/officeDocument/2006/relationships/hyperlink" Target="https://www.sinyi.com.tw/rent/houseno/C349752" TargetMode="External"/><Relationship Id="rId54" Type="http://schemas.openxmlformats.org/officeDocument/2006/relationships/hyperlink" Target="https://www.sinyi.com.tw/rent/houseno/C351388" TargetMode="External"/><Relationship Id="rId75" Type="http://schemas.openxmlformats.org/officeDocument/2006/relationships/hyperlink" Target="https://www.sinyi.com.tw/rent/houseno/C359268" TargetMode="External"/><Relationship Id="rId96" Type="http://schemas.openxmlformats.org/officeDocument/2006/relationships/hyperlink" Target="https://www.sinyi.com.tw/rent/houseno/C356168" TargetMode="External"/><Relationship Id="rId140" Type="http://schemas.openxmlformats.org/officeDocument/2006/relationships/hyperlink" Target="https://www.sinyi.com.tw/rent/houseno/C336817" TargetMode="External"/><Relationship Id="rId161" Type="http://schemas.openxmlformats.org/officeDocument/2006/relationships/hyperlink" Target="https://www.sinyi.com.tw/rent/houseno/C344504" TargetMode="External"/><Relationship Id="rId182" Type="http://schemas.openxmlformats.org/officeDocument/2006/relationships/hyperlink" Target="https://www.sinyi.com.tw/rent/houseno/C350089" TargetMode="External"/><Relationship Id="rId6" Type="http://schemas.openxmlformats.org/officeDocument/2006/relationships/hyperlink" Target="https://www.sinyi.com.tw/rent/houseno/C348532" TargetMode="External"/><Relationship Id="rId23" Type="http://schemas.openxmlformats.org/officeDocument/2006/relationships/hyperlink" Target="https://www.sinyi.com.tw/rent/houseno/C340156" TargetMode="External"/><Relationship Id="rId119" Type="http://schemas.openxmlformats.org/officeDocument/2006/relationships/hyperlink" Target="https://www.sinyi.com.tw/rent/houseno/C360163" TargetMode="External"/><Relationship Id="rId44" Type="http://schemas.openxmlformats.org/officeDocument/2006/relationships/hyperlink" Target="https://www.sinyi.com.tw/rent/houseno/C348894" TargetMode="External"/><Relationship Id="rId65" Type="http://schemas.openxmlformats.org/officeDocument/2006/relationships/hyperlink" Target="https://www.sinyi.com.tw/rent/houseno/C353862" TargetMode="External"/><Relationship Id="rId86" Type="http://schemas.openxmlformats.org/officeDocument/2006/relationships/hyperlink" Target="https://www.sinyi.com.tw/rent/houseno/C323976" TargetMode="External"/><Relationship Id="rId130" Type="http://schemas.openxmlformats.org/officeDocument/2006/relationships/hyperlink" Target="https://www.sinyi.com.tw/rent/houseno/C343730" TargetMode="External"/><Relationship Id="rId151" Type="http://schemas.openxmlformats.org/officeDocument/2006/relationships/hyperlink" Target="https://www.sinyi.com.tw/rent/houseno/C354524" TargetMode="External"/><Relationship Id="rId172" Type="http://schemas.openxmlformats.org/officeDocument/2006/relationships/hyperlink" Target="https://www.sinyi.com.tw/rent/houseno/C355190" TargetMode="External"/><Relationship Id="rId193" Type="http://schemas.openxmlformats.org/officeDocument/2006/relationships/hyperlink" Target="https://www.sinyi.com.tw/rent/houseno/C351189" TargetMode="External"/><Relationship Id="rId13" Type="http://schemas.openxmlformats.org/officeDocument/2006/relationships/hyperlink" Target="https://www.sinyi.com.tw/rent/houseno/C352961" TargetMode="External"/><Relationship Id="rId109" Type="http://schemas.openxmlformats.org/officeDocument/2006/relationships/hyperlink" Target="https://www.sinyi.com.tw/rent/houseno/C358326" TargetMode="External"/><Relationship Id="rId34" Type="http://schemas.openxmlformats.org/officeDocument/2006/relationships/hyperlink" Target="https://www.sinyi.com.tw/rent/houseno/C345976" TargetMode="External"/><Relationship Id="rId55" Type="http://schemas.openxmlformats.org/officeDocument/2006/relationships/hyperlink" Target="https://www.sinyi.com.tw/rent/houseno/C351389" TargetMode="External"/><Relationship Id="rId76" Type="http://schemas.openxmlformats.org/officeDocument/2006/relationships/hyperlink" Target="https://www.sinyi.com.tw/rent/houseno/C359302" TargetMode="External"/><Relationship Id="rId97" Type="http://schemas.openxmlformats.org/officeDocument/2006/relationships/hyperlink" Target="https://www.sinyi.com.tw/rent/houseno/C356215" TargetMode="External"/><Relationship Id="rId120" Type="http://schemas.openxmlformats.org/officeDocument/2006/relationships/hyperlink" Target="https://www.sinyi.com.tw/rent/houseno/C330498" TargetMode="External"/><Relationship Id="rId141" Type="http://schemas.openxmlformats.org/officeDocument/2006/relationships/hyperlink" Target="https://www.sinyi.com.tw/rent/houseno/C352644" TargetMode="External"/><Relationship Id="rId7" Type="http://schemas.openxmlformats.org/officeDocument/2006/relationships/hyperlink" Target="https://www.sinyi.com.tw/rent/houseno/C349767" TargetMode="External"/><Relationship Id="rId71" Type="http://schemas.openxmlformats.org/officeDocument/2006/relationships/hyperlink" Target="https://www.sinyi.com.tw/rent/houseno/C356323" TargetMode="External"/><Relationship Id="rId92" Type="http://schemas.openxmlformats.org/officeDocument/2006/relationships/hyperlink" Target="https://www.sinyi.com.tw/rent/houseno/C359561" TargetMode="External"/><Relationship Id="rId162" Type="http://schemas.openxmlformats.org/officeDocument/2006/relationships/hyperlink" Target="https://www.sinyi.com.tw/rent/houseno/C353847" TargetMode="External"/><Relationship Id="rId183" Type="http://schemas.openxmlformats.org/officeDocument/2006/relationships/hyperlink" Target="https://www.sinyi.com.tw/rent/houseno/C359608" TargetMode="External"/><Relationship Id="rId2" Type="http://schemas.openxmlformats.org/officeDocument/2006/relationships/hyperlink" Target="https://www.sinyi.com.tw/rent/houseno/C343824" TargetMode="External"/><Relationship Id="rId29" Type="http://schemas.openxmlformats.org/officeDocument/2006/relationships/hyperlink" Target="https://www.sinyi.com.tw/rent/houseno/C343340" TargetMode="External"/><Relationship Id="rId24" Type="http://schemas.openxmlformats.org/officeDocument/2006/relationships/hyperlink" Target="https://www.sinyi.com.tw/rent/houseno/C340296" TargetMode="External"/><Relationship Id="rId40" Type="http://schemas.openxmlformats.org/officeDocument/2006/relationships/hyperlink" Target="https://www.sinyi.com.tw/rent/houseno/C347751" TargetMode="External"/><Relationship Id="rId45" Type="http://schemas.openxmlformats.org/officeDocument/2006/relationships/hyperlink" Target="https://www.sinyi.com.tw/rent/houseno/C349673" TargetMode="External"/><Relationship Id="rId66" Type="http://schemas.openxmlformats.org/officeDocument/2006/relationships/hyperlink" Target="https://www.sinyi.com.tw/rent/houseno/C354304" TargetMode="External"/><Relationship Id="rId87" Type="http://schemas.openxmlformats.org/officeDocument/2006/relationships/hyperlink" Target="https://www.sinyi.com.tw/rent/houseno/C349356" TargetMode="External"/><Relationship Id="rId110" Type="http://schemas.openxmlformats.org/officeDocument/2006/relationships/hyperlink" Target="https://www.sinyi.com.tw/rent/houseno/C350521" TargetMode="External"/><Relationship Id="rId115" Type="http://schemas.openxmlformats.org/officeDocument/2006/relationships/hyperlink" Target="https://www.sinyi.com.tw/rent/houseno/C334019" TargetMode="External"/><Relationship Id="rId131" Type="http://schemas.openxmlformats.org/officeDocument/2006/relationships/hyperlink" Target="https://www.sinyi.com.tw/rent/houseno/C352989" TargetMode="External"/><Relationship Id="rId136" Type="http://schemas.openxmlformats.org/officeDocument/2006/relationships/hyperlink" Target="https://www.sinyi.com.tw/rent/houseno/C340392" TargetMode="External"/><Relationship Id="rId157" Type="http://schemas.openxmlformats.org/officeDocument/2006/relationships/hyperlink" Target="https://www.sinyi.com.tw/rent/houseno/C352464" TargetMode="External"/><Relationship Id="rId178" Type="http://schemas.openxmlformats.org/officeDocument/2006/relationships/hyperlink" Target="https://www.sinyi.com.tw/rent/houseno/C349355" TargetMode="External"/><Relationship Id="rId61" Type="http://schemas.openxmlformats.org/officeDocument/2006/relationships/hyperlink" Target="https://www.sinyi.com.tw/rent/houseno/C352927" TargetMode="External"/><Relationship Id="rId82" Type="http://schemas.openxmlformats.org/officeDocument/2006/relationships/hyperlink" Target="https://www.sinyi.com.tw/rent/houseno/C351244" TargetMode="External"/><Relationship Id="rId152" Type="http://schemas.openxmlformats.org/officeDocument/2006/relationships/hyperlink" Target="https://www.sinyi.com.tw/rent/houseno/C338218" TargetMode="External"/><Relationship Id="rId173" Type="http://schemas.openxmlformats.org/officeDocument/2006/relationships/hyperlink" Target="https://www.sinyi.com.tw/rent/houseno/C356688" TargetMode="External"/><Relationship Id="rId194" Type="http://schemas.openxmlformats.org/officeDocument/2006/relationships/hyperlink" Target="https://www.sinyi.com.tw/rent/houseno/C352990" TargetMode="External"/><Relationship Id="rId199" Type="http://schemas.openxmlformats.org/officeDocument/2006/relationships/hyperlink" Target="https://www.sinyi.com.tw/rent/houseno/C352926" TargetMode="External"/><Relationship Id="rId19" Type="http://schemas.openxmlformats.org/officeDocument/2006/relationships/hyperlink" Target="https://www.sinyi.com.tw/rent/houseno/C357062" TargetMode="External"/><Relationship Id="rId14" Type="http://schemas.openxmlformats.org/officeDocument/2006/relationships/hyperlink" Target="https://www.sinyi.com.tw/rent/houseno/C353632" TargetMode="External"/><Relationship Id="rId30" Type="http://schemas.openxmlformats.org/officeDocument/2006/relationships/hyperlink" Target="https://www.sinyi.com.tw/rent/houseno/C343434" TargetMode="External"/><Relationship Id="rId35" Type="http://schemas.openxmlformats.org/officeDocument/2006/relationships/hyperlink" Target="https://www.sinyi.com.tw/rent/houseno/C346835" TargetMode="External"/><Relationship Id="rId56" Type="http://schemas.openxmlformats.org/officeDocument/2006/relationships/hyperlink" Target="https://www.sinyi.com.tw/rent/houseno/C351390" TargetMode="External"/><Relationship Id="rId77" Type="http://schemas.openxmlformats.org/officeDocument/2006/relationships/hyperlink" Target="https://www.sinyi.com.tw/rent/houseno/C359304" TargetMode="External"/><Relationship Id="rId100" Type="http://schemas.openxmlformats.org/officeDocument/2006/relationships/hyperlink" Target="https://www.sinyi.com.tw/rent/houseno/C323124" TargetMode="External"/><Relationship Id="rId105" Type="http://schemas.openxmlformats.org/officeDocument/2006/relationships/hyperlink" Target="https://www.sinyi.com.tw/rent/houseno/C359881" TargetMode="External"/><Relationship Id="rId126" Type="http://schemas.openxmlformats.org/officeDocument/2006/relationships/hyperlink" Target="https://www.sinyi.com.tw/rent/houseno/C343936" TargetMode="External"/><Relationship Id="rId147" Type="http://schemas.openxmlformats.org/officeDocument/2006/relationships/hyperlink" Target="https://www.sinyi.com.tw/rent/houseno/C353347" TargetMode="External"/><Relationship Id="rId168" Type="http://schemas.openxmlformats.org/officeDocument/2006/relationships/hyperlink" Target="https://www.sinyi.com.tw/rent/houseno/C341382" TargetMode="External"/><Relationship Id="rId8" Type="http://schemas.openxmlformats.org/officeDocument/2006/relationships/hyperlink" Target="https://www.sinyi.com.tw/rent/houseno/C349892" TargetMode="External"/><Relationship Id="rId51" Type="http://schemas.openxmlformats.org/officeDocument/2006/relationships/hyperlink" Target="https://www.sinyi.com.tw/rent/houseno/C350546" TargetMode="External"/><Relationship Id="rId72" Type="http://schemas.openxmlformats.org/officeDocument/2006/relationships/hyperlink" Target="https://www.sinyi.com.tw/rent/houseno/C356329" TargetMode="External"/><Relationship Id="rId93" Type="http://schemas.openxmlformats.org/officeDocument/2006/relationships/hyperlink" Target="https://www.sinyi.com.tw/rent/houseno/C346659" TargetMode="External"/><Relationship Id="rId98" Type="http://schemas.openxmlformats.org/officeDocument/2006/relationships/hyperlink" Target="https://www.sinyi.com.tw/rent/houseno/C352411" TargetMode="External"/><Relationship Id="rId121" Type="http://schemas.openxmlformats.org/officeDocument/2006/relationships/hyperlink" Target="https://www.sinyi.com.tw/rent/houseno/C346695" TargetMode="External"/><Relationship Id="rId142" Type="http://schemas.openxmlformats.org/officeDocument/2006/relationships/hyperlink" Target="https://www.sinyi.com.tw/rent/houseno/C352934" TargetMode="External"/><Relationship Id="rId163" Type="http://schemas.openxmlformats.org/officeDocument/2006/relationships/hyperlink" Target="https://www.sinyi.com.tw/rent/houseno/C358962" TargetMode="External"/><Relationship Id="rId184" Type="http://schemas.openxmlformats.org/officeDocument/2006/relationships/hyperlink" Target="https://www.sinyi.com.tw/rent/houseno/C350495" TargetMode="External"/><Relationship Id="rId189" Type="http://schemas.openxmlformats.org/officeDocument/2006/relationships/hyperlink" Target="https://www.sinyi.com.tw/rent/houseno/C357745" TargetMode="External"/><Relationship Id="rId3" Type="http://schemas.openxmlformats.org/officeDocument/2006/relationships/hyperlink" Target="https://www.sinyi.com.tw/rent/houseno/C344642" TargetMode="External"/><Relationship Id="rId25" Type="http://schemas.openxmlformats.org/officeDocument/2006/relationships/hyperlink" Target="https://www.sinyi.com.tw/rent/houseno/C340541" TargetMode="External"/><Relationship Id="rId46" Type="http://schemas.openxmlformats.org/officeDocument/2006/relationships/hyperlink" Target="https://www.sinyi.com.tw/rent/houseno/C349801" TargetMode="External"/><Relationship Id="rId67" Type="http://schemas.openxmlformats.org/officeDocument/2006/relationships/hyperlink" Target="https://www.sinyi.com.tw/rent/houseno/C354311" TargetMode="External"/><Relationship Id="rId116" Type="http://schemas.openxmlformats.org/officeDocument/2006/relationships/hyperlink" Target="https://www.sinyi.com.tw/rent/houseno/C353954" TargetMode="External"/><Relationship Id="rId137" Type="http://schemas.openxmlformats.org/officeDocument/2006/relationships/hyperlink" Target="https://www.sinyi.com.tw/rent/houseno/C343066" TargetMode="External"/><Relationship Id="rId158" Type="http://schemas.openxmlformats.org/officeDocument/2006/relationships/hyperlink" Target="https://www.sinyi.com.tw/rent/houseno/C356584" TargetMode="External"/><Relationship Id="rId20" Type="http://schemas.openxmlformats.org/officeDocument/2006/relationships/hyperlink" Target="https://www.sinyi.com.tw/rent/houseno/C357248" TargetMode="External"/><Relationship Id="rId41" Type="http://schemas.openxmlformats.org/officeDocument/2006/relationships/hyperlink" Target="https://www.sinyi.com.tw/rent/houseno/C347986" TargetMode="External"/><Relationship Id="rId62" Type="http://schemas.openxmlformats.org/officeDocument/2006/relationships/hyperlink" Target="https://www.sinyi.com.tw/rent/houseno/C352932" TargetMode="External"/><Relationship Id="rId83" Type="http://schemas.openxmlformats.org/officeDocument/2006/relationships/hyperlink" Target="https://www.sinyi.com.tw/rent/houseno/C356461" TargetMode="External"/><Relationship Id="rId88" Type="http://schemas.openxmlformats.org/officeDocument/2006/relationships/hyperlink" Target="https://www.sinyi.com.tw/rent/houseno/C354828" TargetMode="External"/><Relationship Id="rId111" Type="http://schemas.openxmlformats.org/officeDocument/2006/relationships/hyperlink" Target="https://www.sinyi.com.tw/rent/houseno/C357444" TargetMode="External"/><Relationship Id="rId132" Type="http://schemas.openxmlformats.org/officeDocument/2006/relationships/hyperlink" Target="https://www.sinyi.com.tw/rent/houseno/C353325" TargetMode="External"/><Relationship Id="rId153" Type="http://schemas.openxmlformats.org/officeDocument/2006/relationships/hyperlink" Target="https://www.sinyi.com.tw/rent/houseno/C338790" TargetMode="External"/><Relationship Id="rId174" Type="http://schemas.openxmlformats.org/officeDocument/2006/relationships/hyperlink" Target="https://www.sinyi.com.tw/rent/houseno/C355484" TargetMode="External"/><Relationship Id="rId179" Type="http://schemas.openxmlformats.org/officeDocument/2006/relationships/hyperlink" Target="https://www.sinyi.com.tw/rent/houseno/C355024" TargetMode="External"/><Relationship Id="rId195" Type="http://schemas.openxmlformats.org/officeDocument/2006/relationships/hyperlink" Target="https://www.sinyi.com.tw/rent/houseno/C348018" TargetMode="External"/><Relationship Id="rId190" Type="http://schemas.openxmlformats.org/officeDocument/2006/relationships/hyperlink" Target="https://www.sinyi.com.tw/rent/houseno/C349952" TargetMode="External"/><Relationship Id="rId15" Type="http://schemas.openxmlformats.org/officeDocument/2006/relationships/hyperlink" Target="https://www.sinyi.com.tw/rent/houseno/C355027" TargetMode="External"/><Relationship Id="rId36" Type="http://schemas.openxmlformats.org/officeDocument/2006/relationships/hyperlink" Target="https://www.sinyi.com.tw/rent/houseno/C346836" TargetMode="External"/><Relationship Id="rId57" Type="http://schemas.openxmlformats.org/officeDocument/2006/relationships/hyperlink" Target="https://www.sinyi.com.tw/rent/houseno/C352024" TargetMode="External"/><Relationship Id="rId106" Type="http://schemas.openxmlformats.org/officeDocument/2006/relationships/hyperlink" Target="https://www.sinyi.com.tw/rent/houseno/C353749" TargetMode="External"/><Relationship Id="rId127" Type="http://schemas.openxmlformats.org/officeDocument/2006/relationships/hyperlink" Target="https://www.sinyi.com.tw/rent/houseno/C357441" TargetMode="External"/><Relationship Id="rId10" Type="http://schemas.openxmlformats.org/officeDocument/2006/relationships/hyperlink" Target="https://www.sinyi.com.tw/rent/houseno/C352271" TargetMode="External"/><Relationship Id="rId31" Type="http://schemas.openxmlformats.org/officeDocument/2006/relationships/hyperlink" Target="https://www.sinyi.com.tw/rent/houseno/C344177" TargetMode="External"/><Relationship Id="rId52" Type="http://schemas.openxmlformats.org/officeDocument/2006/relationships/hyperlink" Target="https://www.sinyi.com.tw/rent/houseno/C350990" TargetMode="External"/><Relationship Id="rId73" Type="http://schemas.openxmlformats.org/officeDocument/2006/relationships/hyperlink" Target="https://www.sinyi.com.tw/rent/houseno/C356501" TargetMode="External"/><Relationship Id="rId78" Type="http://schemas.openxmlformats.org/officeDocument/2006/relationships/hyperlink" Target="https://www.sinyi.com.tw/rent/houseno/C359305" TargetMode="External"/><Relationship Id="rId94" Type="http://schemas.openxmlformats.org/officeDocument/2006/relationships/hyperlink" Target="https://www.sinyi.com.tw/rent/houseno/C352830" TargetMode="External"/><Relationship Id="rId99" Type="http://schemas.openxmlformats.org/officeDocument/2006/relationships/hyperlink" Target="https://www.sinyi.com.tw/rent/houseno/C358002" TargetMode="External"/><Relationship Id="rId101" Type="http://schemas.openxmlformats.org/officeDocument/2006/relationships/hyperlink" Target="https://www.sinyi.com.tw/rent/houseno/C355196" TargetMode="External"/><Relationship Id="rId122" Type="http://schemas.openxmlformats.org/officeDocument/2006/relationships/hyperlink" Target="https://www.sinyi.com.tw/rent/houseno/C349228" TargetMode="External"/><Relationship Id="rId143" Type="http://schemas.openxmlformats.org/officeDocument/2006/relationships/hyperlink" Target="https://www.sinyi.com.tw/rent/houseno/C354066" TargetMode="External"/><Relationship Id="rId148" Type="http://schemas.openxmlformats.org/officeDocument/2006/relationships/hyperlink" Target="https://www.sinyi.com.tw/rent/houseno/C353008" TargetMode="External"/><Relationship Id="rId164" Type="http://schemas.openxmlformats.org/officeDocument/2006/relationships/hyperlink" Target="https://www.sinyi.com.tw/rent/houseno/C349080" TargetMode="External"/><Relationship Id="rId169" Type="http://schemas.openxmlformats.org/officeDocument/2006/relationships/hyperlink" Target="https://www.sinyi.com.tw/rent/houseno/C349020" TargetMode="External"/><Relationship Id="rId185" Type="http://schemas.openxmlformats.org/officeDocument/2006/relationships/hyperlink" Target="https://www.sinyi.com.tw/rent/houseno/C351686" TargetMode="External"/><Relationship Id="rId4" Type="http://schemas.openxmlformats.org/officeDocument/2006/relationships/hyperlink" Target="https://www.sinyi.com.tw/rent/houseno/C345296" TargetMode="External"/><Relationship Id="rId9" Type="http://schemas.openxmlformats.org/officeDocument/2006/relationships/hyperlink" Target="https://www.sinyi.com.tw/rent/houseno/C350419" TargetMode="External"/><Relationship Id="rId180" Type="http://schemas.openxmlformats.org/officeDocument/2006/relationships/hyperlink" Target="https://www.sinyi.com.tw/rent/houseno/C356951" TargetMode="External"/><Relationship Id="rId26" Type="http://schemas.openxmlformats.org/officeDocument/2006/relationships/hyperlink" Target="https://www.sinyi.com.tw/rent/houseno/C340779" TargetMode="External"/><Relationship Id="rId47" Type="http://schemas.openxmlformats.org/officeDocument/2006/relationships/hyperlink" Target="https://www.sinyi.com.tw/rent/houseno/C350201" TargetMode="External"/><Relationship Id="rId68" Type="http://schemas.openxmlformats.org/officeDocument/2006/relationships/hyperlink" Target="https://www.sinyi.com.tw/rent/houseno/C354561" TargetMode="External"/><Relationship Id="rId89" Type="http://schemas.openxmlformats.org/officeDocument/2006/relationships/hyperlink" Target="https://www.sinyi.com.tw/rent/houseno/C355501" TargetMode="External"/><Relationship Id="rId112" Type="http://schemas.openxmlformats.org/officeDocument/2006/relationships/hyperlink" Target="https://www.sinyi.com.tw/rent/houseno/C349500" TargetMode="External"/><Relationship Id="rId133" Type="http://schemas.openxmlformats.org/officeDocument/2006/relationships/hyperlink" Target="https://www.sinyi.com.tw/rent/houseno/C350350" TargetMode="External"/><Relationship Id="rId154" Type="http://schemas.openxmlformats.org/officeDocument/2006/relationships/hyperlink" Target="https://www.sinyi.com.tw/rent/houseno/C349029" TargetMode="External"/><Relationship Id="rId175" Type="http://schemas.openxmlformats.org/officeDocument/2006/relationships/hyperlink" Target="https://www.sinyi.com.tw/rent/houseno/C352690" TargetMode="External"/><Relationship Id="rId196" Type="http://schemas.openxmlformats.org/officeDocument/2006/relationships/hyperlink" Target="https://www.sinyi.com.tw/rent/houseno/C348801" TargetMode="External"/><Relationship Id="rId200" Type="http://schemas.openxmlformats.org/officeDocument/2006/relationships/hyperlink" Target="https://www.sinyi.com.tw/rent/houseno/C343445" TargetMode="External"/><Relationship Id="rId16" Type="http://schemas.openxmlformats.org/officeDocument/2006/relationships/hyperlink" Target="https://www.sinyi.com.tw/rent/houseno/C355730" TargetMode="External"/><Relationship Id="rId37" Type="http://schemas.openxmlformats.org/officeDocument/2006/relationships/hyperlink" Target="https://www.sinyi.com.tw/rent/houseno/C346837" TargetMode="External"/><Relationship Id="rId58" Type="http://schemas.openxmlformats.org/officeDocument/2006/relationships/hyperlink" Target="https://www.sinyi.com.tw/rent/houseno/C352270" TargetMode="External"/><Relationship Id="rId79" Type="http://schemas.openxmlformats.org/officeDocument/2006/relationships/hyperlink" Target="https://www.sinyi.com.tw/rent/houseno/C360065" TargetMode="External"/><Relationship Id="rId102" Type="http://schemas.openxmlformats.org/officeDocument/2006/relationships/hyperlink" Target="https://www.sinyi.com.tw/rent/houseno/C354563" TargetMode="External"/><Relationship Id="rId123" Type="http://schemas.openxmlformats.org/officeDocument/2006/relationships/hyperlink" Target="https://www.sinyi.com.tw/rent/houseno/C351550" TargetMode="External"/><Relationship Id="rId144" Type="http://schemas.openxmlformats.org/officeDocument/2006/relationships/hyperlink" Target="https://www.sinyi.com.tw/rent/houseno/C356666" TargetMode="External"/><Relationship Id="rId90" Type="http://schemas.openxmlformats.org/officeDocument/2006/relationships/hyperlink" Target="https://www.sinyi.com.tw/rent/houseno/C346511" TargetMode="External"/><Relationship Id="rId165" Type="http://schemas.openxmlformats.org/officeDocument/2006/relationships/hyperlink" Target="https://www.sinyi.com.tw/rent/houseno/C347960" TargetMode="External"/><Relationship Id="rId186" Type="http://schemas.openxmlformats.org/officeDocument/2006/relationships/hyperlink" Target="https://www.sinyi.com.tw/rent/houseno/C356115" TargetMode="External"/><Relationship Id="rId27" Type="http://schemas.openxmlformats.org/officeDocument/2006/relationships/hyperlink" Target="https://www.sinyi.com.tw/rent/houseno/C340896" TargetMode="External"/><Relationship Id="rId48" Type="http://schemas.openxmlformats.org/officeDocument/2006/relationships/hyperlink" Target="https://www.sinyi.com.tw/rent/houseno/C350243" TargetMode="External"/><Relationship Id="rId69" Type="http://schemas.openxmlformats.org/officeDocument/2006/relationships/hyperlink" Target="https://www.sinyi.com.tw/rent/houseno/C354902" TargetMode="External"/><Relationship Id="rId113" Type="http://schemas.openxmlformats.org/officeDocument/2006/relationships/hyperlink" Target="https://www.sinyi.com.tw/rent/houseno/C360142" TargetMode="External"/><Relationship Id="rId134" Type="http://schemas.openxmlformats.org/officeDocument/2006/relationships/hyperlink" Target="https://www.sinyi.com.tw/rent/houseno/C336564" TargetMode="External"/><Relationship Id="rId80" Type="http://schemas.openxmlformats.org/officeDocument/2006/relationships/hyperlink" Target="https://www.sinyi.com.tw/rent/houseno/C360066" TargetMode="External"/><Relationship Id="rId155" Type="http://schemas.openxmlformats.org/officeDocument/2006/relationships/hyperlink" Target="https://www.sinyi.com.tw/rent/houseno/C349031" TargetMode="External"/><Relationship Id="rId176" Type="http://schemas.openxmlformats.org/officeDocument/2006/relationships/hyperlink" Target="https://www.sinyi.com.tw/rent/houseno/C352154" TargetMode="External"/><Relationship Id="rId197" Type="http://schemas.openxmlformats.org/officeDocument/2006/relationships/hyperlink" Target="https://www.sinyi.com.tw/rent/houseno/C347984" TargetMode="External"/><Relationship Id="rId17" Type="http://schemas.openxmlformats.org/officeDocument/2006/relationships/hyperlink" Target="https://www.sinyi.com.tw/rent/houseno/C356503" TargetMode="External"/><Relationship Id="rId38" Type="http://schemas.openxmlformats.org/officeDocument/2006/relationships/hyperlink" Target="https://www.sinyi.com.tw/rent/houseno/C346838" TargetMode="External"/><Relationship Id="rId59" Type="http://schemas.openxmlformats.org/officeDocument/2006/relationships/hyperlink" Target="https://www.sinyi.com.tw/rent/houseno/C352668" TargetMode="External"/><Relationship Id="rId103" Type="http://schemas.openxmlformats.org/officeDocument/2006/relationships/hyperlink" Target="https://www.sinyi.com.tw/rent/houseno/C342007" TargetMode="External"/><Relationship Id="rId124" Type="http://schemas.openxmlformats.org/officeDocument/2006/relationships/hyperlink" Target="https://www.sinyi.com.tw/rent/houseno/C355861" TargetMode="External"/><Relationship Id="rId70" Type="http://schemas.openxmlformats.org/officeDocument/2006/relationships/hyperlink" Target="https://www.sinyi.com.tw/rent/houseno/C355468" TargetMode="External"/><Relationship Id="rId91" Type="http://schemas.openxmlformats.org/officeDocument/2006/relationships/hyperlink" Target="https://www.sinyi.com.tw/rent/houseno/C353952" TargetMode="External"/><Relationship Id="rId145" Type="http://schemas.openxmlformats.org/officeDocument/2006/relationships/hyperlink" Target="https://www.sinyi.com.tw/rent/houseno/C353324" TargetMode="External"/><Relationship Id="rId166" Type="http://schemas.openxmlformats.org/officeDocument/2006/relationships/hyperlink" Target="https://www.sinyi.com.tw/rent/houseno/C343458" TargetMode="External"/><Relationship Id="rId187" Type="http://schemas.openxmlformats.org/officeDocument/2006/relationships/hyperlink" Target="https://www.sinyi.com.tw/rent/houseno/C354743" TargetMode="External"/><Relationship Id="rId1" Type="http://schemas.openxmlformats.org/officeDocument/2006/relationships/hyperlink" Target="https://www.sinyi.com.tw/rent/houseno/C333953" TargetMode="External"/><Relationship Id="rId28" Type="http://schemas.openxmlformats.org/officeDocument/2006/relationships/hyperlink" Target="https://www.sinyi.com.tw/rent/houseno/C341932" TargetMode="External"/><Relationship Id="rId49" Type="http://schemas.openxmlformats.org/officeDocument/2006/relationships/hyperlink" Target="https://www.sinyi.com.tw/rent/houseno/C350244" TargetMode="External"/><Relationship Id="rId114" Type="http://schemas.openxmlformats.org/officeDocument/2006/relationships/hyperlink" Target="https://www.sinyi.com.tw/rent/houseno/C350178" TargetMode="External"/><Relationship Id="rId60" Type="http://schemas.openxmlformats.org/officeDocument/2006/relationships/hyperlink" Target="https://www.sinyi.com.tw/rent/houseno/C352922" TargetMode="External"/><Relationship Id="rId81" Type="http://schemas.openxmlformats.org/officeDocument/2006/relationships/hyperlink" Target="https://www.sinyi.com.tw/rent/houseno/C357249" TargetMode="External"/><Relationship Id="rId135" Type="http://schemas.openxmlformats.org/officeDocument/2006/relationships/hyperlink" Target="https://www.sinyi.com.tw/rent/houseno/C344776" TargetMode="External"/><Relationship Id="rId156" Type="http://schemas.openxmlformats.org/officeDocument/2006/relationships/hyperlink" Target="https://www.sinyi.com.tw/rent/houseno/C347629" TargetMode="External"/><Relationship Id="rId177" Type="http://schemas.openxmlformats.org/officeDocument/2006/relationships/hyperlink" Target="https://www.sinyi.com.tw/rent/houseno/C349354" TargetMode="External"/><Relationship Id="rId198" Type="http://schemas.openxmlformats.org/officeDocument/2006/relationships/hyperlink" Target="https://www.sinyi.com.tw/rent/houseno/C349443" TargetMode="External"/><Relationship Id="rId18" Type="http://schemas.openxmlformats.org/officeDocument/2006/relationships/hyperlink" Target="https://www.sinyi.com.tw/rent/houseno/C356504" TargetMode="External"/><Relationship Id="rId39" Type="http://schemas.openxmlformats.org/officeDocument/2006/relationships/hyperlink" Target="https://www.sinyi.com.tw/rent/houseno/C346839" TargetMode="External"/><Relationship Id="rId50" Type="http://schemas.openxmlformats.org/officeDocument/2006/relationships/hyperlink" Target="https://www.sinyi.com.tw/rent/houseno/C350386" TargetMode="External"/><Relationship Id="rId104" Type="http://schemas.openxmlformats.org/officeDocument/2006/relationships/hyperlink" Target="https://www.sinyi.com.tw/rent/houseno/C341980" TargetMode="External"/><Relationship Id="rId125" Type="http://schemas.openxmlformats.org/officeDocument/2006/relationships/hyperlink" Target="https://www.sinyi.com.tw/rent/houseno/C350900" TargetMode="External"/><Relationship Id="rId146" Type="http://schemas.openxmlformats.org/officeDocument/2006/relationships/hyperlink" Target="https://www.sinyi.com.tw/rent/houseno/C353323" TargetMode="External"/><Relationship Id="rId167" Type="http://schemas.openxmlformats.org/officeDocument/2006/relationships/hyperlink" Target="https://www.sinyi.com.tw/rent/houseno/C325214" TargetMode="External"/><Relationship Id="rId188" Type="http://schemas.openxmlformats.org/officeDocument/2006/relationships/hyperlink" Target="https://www.sinyi.com.tw/rent/houseno/C353730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www.sinyi.com.tw/rent/houseno/C340541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www.sinyi.com.tw/rent/houseno/C356323" TargetMode="External"/><Relationship Id="rId1" Type="http://schemas.openxmlformats.org/officeDocument/2006/relationships/hyperlink" Target="https://www.sinyi.com.tw/rent/houseno/C343066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https://www.sinyi.com.tw/rent/houseno/C333419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https://www.sinyi.com.tw/rent/houseno/C353730" TargetMode="External"/><Relationship Id="rId9" Type="http://schemas.openxmlformats.org/officeDocument/2006/relationships/ctrlProp" Target="../ctrlProps/ctrlProp2.xml"/><Relationship Id="rId1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13D86-DBEC-49F0-975F-4AC872CA1B7A}">
  <sheetPr codeName="工作表1"/>
  <dimension ref="A1:R201"/>
  <sheetViews>
    <sheetView topLeftCell="E1" workbookViewId="0">
      <selection activeCell="I6" sqref="I6"/>
    </sheetView>
  </sheetViews>
  <sheetFormatPr defaultRowHeight="15" x14ac:dyDescent="0.3"/>
  <cols>
    <col min="1" max="1" width="30.75" bestFit="1" customWidth="1"/>
    <col min="2" max="2" width="10.25" bestFit="1" customWidth="1"/>
    <col min="3" max="3" width="7.375" bestFit="1" customWidth="1"/>
    <col min="4" max="4" width="9.25" bestFit="1" customWidth="1"/>
    <col min="5" max="5" width="38.5" bestFit="1" customWidth="1"/>
    <col min="6" max="6" width="39.75" bestFit="1" customWidth="1"/>
    <col min="7" max="7" width="13.25" bestFit="1" customWidth="1"/>
    <col min="8" max="9" width="10.25" bestFit="1" customWidth="1"/>
    <col min="10" max="12" width="3.625" bestFit="1" customWidth="1"/>
    <col min="13" max="13" width="23.5" bestFit="1" customWidth="1"/>
    <col min="14" max="14" width="8" bestFit="1" customWidth="1"/>
    <col min="15" max="15" width="6.375" bestFit="1" customWidth="1"/>
    <col min="16" max="16" width="5.75" bestFit="1" customWidth="1"/>
    <col min="17" max="18" width="10.25" bestFit="1" customWidth="1"/>
  </cols>
  <sheetData>
    <row r="1" spans="1:18" x14ac:dyDescent="0.3">
      <c r="A1" t="s">
        <v>634</v>
      </c>
      <c r="B1" t="s">
        <v>635</v>
      </c>
      <c r="C1" t="s">
        <v>315</v>
      </c>
      <c r="D1" t="s">
        <v>316</v>
      </c>
      <c r="E1" t="s">
        <v>317</v>
      </c>
      <c r="F1" t="s">
        <v>636</v>
      </c>
      <c r="G1" t="s">
        <v>647</v>
      </c>
      <c r="H1" t="s">
        <v>760</v>
      </c>
      <c r="I1" t="s">
        <v>761</v>
      </c>
      <c r="J1" t="s">
        <v>762</v>
      </c>
      <c r="K1" t="s">
        <v>763</v>
      </c>
      <c r="L1" t="s">
        <v>764</v>
      </c>
      <c r="M1" t="s">
        <v>765</v>
      </c>
      <c r="N1" t="s">
        <v>766</v>
      </c>
      <c r="O1" t="s">
        <v>767</v>
      </c>
      <c r="P1" t="s">
        <v>768</v>
      </c>
      <c r="Q1" t="s">
        <v>769</v>
      </c>
      <c r="R1" t="s">
        <v>770</v>
      </c>
    </row>
    <row r="2" spans="1:18" x14ac:dyDescent="0.3">
      <c r="A2" s="7" t="s">
        <v>2</v>
      </c>
      <c r="B2" t="s">
        <v>0</v>
      </c>
      <c r="C2">
        <v>51.93</v>
      </c>
      <c r="D2" t="s">
        <v>28</v>
      </c>
      <c r="E2" t="s">
        <v>29</v>
      </c>
      <c r="F2" t="s">
        <v>3</v>
      </c>
      <c r="G2" t="s">
        <v>4</v>
      </c>
      <c r="H2" t="str" cm="1">
        <f t="array" ref="H2:I2">_xlfn.TEXTSPLIT(SUBSTITUTE(D2,"樓",""),"/",,,0)</f>
        <v>12</v>
      </c>
      <c r="I2" t="str">
        <v>15</v>
      </c>
      <c r="J2" cm="1">
        <f t="array" ref="J2">GetNumByUnit(E2,"房")</f>
        <v>3</v>
      </c>
      <c r="K2" cm="1">
        <f t="array" ref="K2">GetNumByUnit(E2,"廳")</f>
        <v>2</v>
      </c>
      <c r="L2" cm="1">
        <f t="array" ref="L2">GetNumByUnit(E2,"衛")</f>
        <v>2</v>
      </c>
      <c r="M2" t="str">
        <f>IFERROR(_xlfn.TEXTAFTER(F2,"/",LEN(F2)-LEN(SUBSTITUTE(F2,"/",""))),F2)</f>
        <v xml:space="preserve">台北市文山區溪洲街  </v>
      </c>
      <c r="N2" t="str">
        <f>TRIM(LEFT(M2,MIN(IFERROR(SEARCH("縣",M2),999),IFERROR(SEARCH("市",M2),999))))</f>
        <v>台北市</v>
      </c>
      <c r="O2">
        <f>VALUE(SUBSTITUTE(SUBSTITUTE(G2,",", ""),"元/月",""))</f>
        <v>68000</v>
      </c>
      <c r="P2" t="str">
        <f>_xlfn.XLOOKUP(N2,區隔!$B$3:$B$20,區隔!C$3:C$20,0)</f>
        <v>北部</v>
      </c>
      <c r="Q2" t="str">
        <f>LOOKUP(C2,區隔!$F$3:$F$5,區隔!$E$3:$E$5)</f>
        <v>大坪數</v>
      </c>
      <c r="R2">
        <f>_xlfn.XLOOKUP(CEILING(I2,10),_xlfn.SEQUENCE(100,,10,10),_xlfn.SEQUENCE(100,,10,10))</f>
        <v>20</v>
      </c>
    </row>
    <row r="3" spans="1:18" x14ac:dyDescent="0.3">
      <c r="A3" s="7" t="s">
        <v>318</v>
      </c>
      <c r="B3" t="s">
        <v>0</v>
      </c>
      <c r="C3">
        <v>107</v>
      </c>
      <c r="D3" t="s">
        <v>312</v>
      </c>
      <c r="E3" t="s">
        <v>319</v>
      </c>
      <c r="F3" t="s">
        <v>320</v>
      </c>
      <c r="G3" t="s">
        <v>119</v>
      </c>
      <c r="H3" t="str" cm="1">
        <f t="array" ref="H3:I3">_xlfn.TEXTSPLIT(SUBSTITUTE(D3,"樓",""),"/",,,0)</f>
        <v>1-2</v>
      </c>
      <c r="I3" t="str">
        <v>5</v>
      </c>
      <c r="J3" cm="1">
        <f t="array" ref="J3">GetNumByUnit(E3,"房")</f>
        <v>8</v>
      </c>
      <c r="K3" cm="1">
        <f t="array" ref="K3">GetNumByUnit(E3,"廳")</f>
        <v>2</v>
      </c>
      <c r="L3" cm="1">
        <f t="array" ref="L3">GetNumByUnit(E3,"衛")</f>
        <v>9</v>
      </c>
      <c r="M3" t="str">
        <f t="shared" ref="M3:M66" si="0">IFERROR(_xlfn.TEXTAFTER(F3,"/",LEN(F3)-LEN(SUBSTITUTE(F3,"/",""))),F3)</f>
        <v xml:space="preserve">台南市北區海安路三段  </v>
      </c>
      <c r="N3" t="str">
        <f t="shared" ref="N3:N66" si="1">TRIM(LEFT(M3,MIN(IFERROR(SEARCH("縣",M3),999),IFERROR(SEARCH("市",M3),999))))</f>
        <v>台南市</v>
      </c>
      <c r="O3">
        <f t="shared" ref="O3:O66" si="2">VALUE(SUBSTITUTE(SUBSTITUTE(G3,",", ""),"元/月",""))</f>
        <v>75000</v>
      </c>
      <c r="P3" t="str">
        <f>_xlfn.XLOOKUP(N3,區隔!$B$3:$B$20,區隔!C$3:C$20,0)</f>
        <v>南部</v>
      </c>
      <c r="Q3" t="str">
        <f>LOOKUP(C3,區隔!$F$3:$F$5,區隔!$E$3:$E$5)</f>
        <v>大坪數</v>
      </c>
      <c r="R3">
        <f t="shared" ref="R3:R66" si="3">_xlfn.XLOOKUP(CEILING(I3,10),_xlfn.SEQUENCE(100,,10,10),_xlfn.SEQUENCE(100,,10,10))</f>
        <v>10</v>
      </c>
    </row>
    <row r="4" spans="1:18" x14ac:dyDescent="0.3">
      <c r="A4" s="7" t="s">
        <v>914</v>
      </c>
      <c r="B4" t="s">
        <v>0</v>
      </c>
      <c r="C4">
        <v>42.8</v>
      </c>
      <c r="D4" t="s">
        <v>209</v>
      </c>
      <c r="E4" t="s">
        <v>40</v>
      </c>
      <c r="F4" t="s">
        <v>602</v>
      </c>
      <c r="G4" t="s">
        <v>273</v>
      </c>
      <c r="H4" t="str" cm="1">
        <f t="array" ref="H4:I4">_xlfn.TEXTSPLIT(SUBSTITUTE(D4,"樓",""),"/",,,0)</f>
        <v>8</v>
      </c>
      <c r="I4" t="str">
        <v>14</v>
      </c>
      <c r="J4" cm="1">
        <f t="array" ref="J4">GetNumByUnit(E4,"房")</f>
        <v>4</v>
      </c>
      <c r="K4" cm="1">
        <f t="array" ref="K4">GetNumByUnit(E4,"廳")</f>
        <v>2</v>
      </c>
      <c r="L4" cm="1">
        <f t="array" ref="L4">GetNumByUnit(E4,"衛")</f>
        <v>2</v>
      </c>
      <c r="M4" t="str">
        <f t="shared" si="0"/>
        <v xml:space="preserve">台中市南區文心南路  </v>
      </c>
      <c r="N4" t="str">
        <f t="shared" si="1"/>
        <v>台中市</v>
      </c>
      <c r="O4">
        <f t="shared" si="2"/>
        <v>26000</v>
      </c>
      <c r="P4" t="str">
        <f>_xlfn.XLOOKUP(N4,區隔!$B$3:$B$20,區隔!C$3:C$20,0)</f>
        <v>中部</v>
      </c>
      <c r="Q4" t="str">
        <f>LOOKUP(C4,區隔!$F$3:$F$5,區隔!$E$3:$E$5)</f>
        <v>大坪數</v>
      </c>
      <c r="R4">
        <f t="shared" si="3"/>
        <v>20</v>
      </c>
    </row>
    <row r="5" spans="1:18" x14ac:dyDescent="0.3">
      <c r="A5" s="7" t="s">
        <v>321</v>
      </c>
      <c r="B5" t="s">
        <v>0</v>
      </c>
      <c r="C5">
        <v>31.79</v>
      </c>
      <c r="D5" t="s">
        <v>322</v>
      </c>
      <c r="E5" t="s">
        <v>35</v>
      </c>
      <c r="F5" t="s">
        <v>323</v>
      </c>
      <c r="G5" t="s">
        <v>273</v>
      </c>
      <c r="H5" t="str" cm="1">
        <f t="array" ref="H5:I5">_xlfn.TEXTSPLIT(SUBSTITUTE(D5,"樓",""),"/",,,0)</f>
        <v>14</v>
      </c>
      <c r="I5" t="str">
        <v>24</v>
      </c>
      <c r="J5" cm="1">
        <f t="array" ref="J5">GetNumByUnit(E5,"房")</f>
        <v>2</v>
      </c>
      <c r="K5" cm="1">
        <f t="array" ref="K5">GetNumByUnit(E5,"廳")</f>
        <v>2</v>
      </c>
      <c r="L5" cm="1">
        <f t="array" ref="L5">GetNumByUnit(E5,"衛")</f>
        <v>1</v>
      </c>
      <c r="M5" t="str">
        <f t="shared" si="0"/>
        <v xml:space="preserve">桃園市龜山區華亞三路  </v>
      </c>
      <c r="N5" t="str">
        <f t="shared" si="1"/>
        <v>桃園市</v>
      </c>
      <c r="O5">
        <f t="shared" si="2"/>
        <v>26000</v>
      </c>
      <c r="P5" t="str">
        <f>_xlfn.XLOOKUP(N5,區隔!$B$3:$B$20,區隔!C$3:C$20,0)</f>
        <v>北部</v>
      </c>
      <c r="Q5" t="str">
        <f>LOOKUP(C5,區隔!$F$3:$F$5,區隔!$E$3:$E$5)</f>
        <v>大坪數</v>
      </c>
      <c r="R5">
        <f t="shared" si="3"/>
        <v>30</v>
      </c>
    </row>
    <row r="6" spans="1:18" x14ac:dyDescent="0.3">
      <c r="A6" s="7" t="s">
        <v>915</v>
      </c>
      <c r="B6" t="s">
        <v>0</v>
      </c>
      <c r="C6">
        <v>25.65</v>
      </c>
      <c r="D6" t="s">
        <v>324</v>
      </c>
      <c r="E6" t="s">
        <v>286</v>
      </c>
      <c r="F6" t="s">
        <v>325</v>
      </c>
      <c r="G6" t="s">
        <v>52</v>
      </c>
      <c r="H6" t="str" cm="1">
        <f t="array" ref="H6:I6">_xlfn.TEXTSPLIT(SUBSTITUTE(D6,"樓",""),"/",,,0)</f>
        <v>13</v>
      </c>
      <c r="I6" t="str">
        <v>29</v>
      </c>
      <c r="J6" cm="1">
        <f t="array" ref="J6">GetNumByUnit(E6,"房")</f>
        <v>2</v>
      </c>
      <c r="K6" cm="1">
        <f t="array" ref="K6">GetNumByUnit(E6,"廳")</f>
        <v>1</v>
      </c>
      <c r="L6" cm="1">
        <f t="array" ref="L6">GetNumByUnit(E6,"衛")</f>
        <v>2</v>
      </c>
      <c r="M6" t="str">
        <f t="shared" si="0"/>
        <v xml:space="preserve">高雄市前鎮區一心二路  </v>
      </c>
      <c r="N6" t="str">
        <f t="shared" si="1"/>
        <v>高雄市</v>
      </c>
      <c r="O6">
        <f t="shared" si="2"/>
        <v>24000</v>
      </c>
      <c r="P6" t="str">
        <f>_xlfn.XLOOKUP(N6,區隔!$B$3:$B$20,區隔!C$3:C$20,0)</f>
        <v>南部</v>
      </c>
      <c r="Q6" t="str">
        <f>LOOKUP(C6,區隔!$F$3:$F$5,區隔!$E$3:$E$5)</f>
        <v>中坪數</v>
      </c>
      <c r="R6">
        <f t="shared" si="3"/>
        <v>30</v>
      </c>
    </row>
    <row r="7" spans="1:18" x14ac:dyDescent="0.3">
      <c r="A7" s="7" t="s">
        <v>327</v>
      </c>
      <c r="B7" t="s">
        <v>0</v>
      </c>
      <c r="C7">
        <v>35.72</v>
      </c>
      <c r="D7" t="s">
        <v>34</v>
      </c>
      <c r="E7" t="s">
        <v>29</v>
      </c>
      <c r="F7" t="s">
        <v>328</v>
      </c>
      <c r="G7" t="s">
        <v>116</v>
      </c>
      <c r="H7" t="str" cm="1">
        <f t="array" ref="H7:I7">_xlfn.TEXTSPLIT(SUBSTITUTE(D7,"樓",""),"/",,,0)</f>
        <v>4</v>
      </c>
      <c r="I7" t="str">
        <v>5</v>
      </c>
      <c r="J7" cm="1">
        <f t="array" ref="J7">GetNumByUnit(E7,"房")</f>
        <v>3</v>
      </c>
      <c r="K7" cm="1">
        <f t="array" ref="K7">GetNumByUnit(E7,"廳")</f>
        <v>2</v>
      </c>
      <c r="L7" cm="1">
        <f t="array" ref="L7">GetNumByUnit(E7,"衛")</f>
        <v>2</v>
      </c>
      <c r="M7" t="str">
        <f t="shared" si="0"/>
        <v xml:space="preserve">新北市新店區安康路二段  </v>
      </c>
      <c r="N7" t="str">
        <f t="shared" si="1"/>
        <v>新北市</v>
      </c>
      <c r="O7">
        <f t="shared" si="2"/>
        <v>23000</v>
      </c>
      <c r="P7" t="str">
        <f>_xlfn.XLOOKUP(N7,區隔!$B$3:$B$20,區隔!C$3:C$20,0)</f>
        <v>北部</v>
      </c>
      <c r="Q7" t="str">
        <f>LOOKUP(C7,區隔!$F$3:$F$5,區隔!$E$3:$E$5)</f>
        <v>大坪數</v>
      </c>
      <c r="R7">
        <f t="shared" si="3"/>
        <v>10</v>
      </c>
    </row>
    <row r="8" spans="1:18" x14ac:dyDescent="0.3">
      <c r="A8" s="7" t="s">
        <v>916</v>
      </c>
      <c r="B8" t="s">
        <v>0</v>
      </c>
      <c r="C8">
        <v>27.4</v>
      </c>
      <c r="D8" t="s">
        <v>108</v>
      </c>
      <c r="E8" t="s">
        <v>95</v>
      </c>
      <c r="F8" t="s">
        <v>267</v>
      </c>
      <c r="G8" t="s">
        <v>18</v>
      </c>
      <c r="H8" t="str" cm="1">
        <f t="array" ref="H8:I8">_xlfn.TEXTSPLIT(SUBSTITUTE(D8,"樓",""),"/",,,0)</f>
        <v>2</v>
      </c>
      <c r="I8" t="str">
        <v>4</v>
      </c>
      <c r="J8" cm="1">
        <f t="array" ref="J8">GetNumByUnit(E8,"房")</f>
        <v>3</v>
      </c>
      <c r="K8" cm="1">
        <f t="array" ref="K8">GetNumByUnit(E8,"廳")</f>
        <v>2</v>
      </c>
      <c r="L8" cm="1">
        <f t="array" ref="L8">GetNumByUnit(E8,"衛")</f>
        <v>1</v>
      </c>
      <c r="M8" t="str">
        <f t="shared" si="0"/>
        <v xml:space="preserve">台北市文山區永安街  </v>
      </c>
      <c r="N8" t="str">
        <f t="shared" si="1"/>
        <v>台北市</v>
      </c>
      <c r="O8">
        <f t="shared" si="2"/>
        <v>25000</v>
      </c>
      <c r="P8" t="str">
        <f>_xlfn.XLOOKUP(N8,區隔!$B$3:$B$20,區隔!C$3:C$20,0)</f>
        <v>北部</v>
      </c>
      <c r="Q8" t="str">
        <f>LOOKUP(C8,區隔!$F$3:$F$5,區隔!$E$3:$E$5)</f>
        <v>中坪數</v>
      </c>
      <c r="R8">
        <f t="shared" si="3"/>
        <v>10</v>
      </c>
    </row>
    <row r="9" spans="1:18" x14ac:dyDescent="0.3">
      <c r="A9" s="7" t="s">
        <v>917</v>
      </c>
      <c r="B9" t="s">
        <v>0</v>
      </c>
      <c r="C9">
        <v>51.04</v>
      </c>
      <c r="D9" t="s">
        <v>269</v>
      </c>
      <c r="E9" t="s">
        <v>29</v>
      </c>
      <c r="F9" t="s">
        <v>918</v>
      </c>
      <c r="G9" t="s">
        <v>115</v>
      </c>
      <c r="H9" t="str" cm="1">
        <f t="array" ref="H9:I9">_xlfn.TEXTSPLIT(SUBSTITUTE(D9,"樓",""),"/",,,0)</f>
        <v>16</v>
      </c>
      <c r="I9" t="str">
        <v>17</v>
      </c>
      <c r="J9" cm="1">
        <f t="array" ref="J9">GetNumByUnit(E9,"房")</f>
        <v>3</v>
      </c>
      <c r="K9" cm="1">
        <f t="array" ref="K9">GetNumByUnit(E9,"廳")</f>
        <v>2</v>
      </c>
      <c r="L9" cm="1">
        <f t="array" ref="L9">GetNumByUnit(E9,"衛")</f>
        <v>2</v>
      </c>
      <c r="M9" t="str">
        <f t="shared" si="0"/>
        <v xml:space="preserve"> 新北市淡水區新民街一段  </v>
      </c>
      <c r="N9" t="str">
        <f t="shared" si="1"/>
        <v>新北市</v>
      </c>
      <c r="O9">
        <f t="shared" si="2"/>
        <v>30000</v>
      </c>
      <c r="P9" t="str">
        <f>_xlfn.XLOOKUP(N9,區隔!$B$3:$B$20,區隔!C$3:C$20,0)</f>
        <v>北部</v>
      </c>
      <c r="Q9" t="str">
        <f>LOOKUP(C9,區隔!$F$3:$F$5,區隔!$E$3:$E$5)</f>
        <v>大坪數</v>
      </c>
      <c r="R9">
        <f t="shared" si="3"/>
        <v>20</v>
      </c>
    </row>
    <row r="10" spans="1:18" x14ac:dyDescent="0.3">
      <c r="A10" s="7" t="s">
        <v>919</v>
      </c>
      <c r="B10" t="s">
        <v>0</v>
      </c>
      <c r="C10">
        <v>59.96</v>
      </c>
      <c r="D10" t="s">
        <v>581</v>
      </c>
      <c r="E10" t="s">
        <v>188</v>
      </c>
      <c r="F10" t="s">
        <v>94</v>
      </c>
      <c r="G10" t="s">
        <v>22</v>
      </c>
      <c r="H10" t="str" cm="1">
        <f t="array" ref="H10:I10">_xlfn.TEXTSPLIT(SUBSTITUTE(D10,"樓",""),"/",,,0)</f>
        <v>4-5</v>
      </c>
      <c r="I10" t="str">
        <v>5</v>
      </c>
      <c r="J10" cm="1">
        <f t="array" ref="J10">GetNumByUnit(E10,"房")</f>
        <v>4</v>
      </c>
      <c r="K10" cm="1">
        <f t="array" ref="K10">GetNumByUnit(E10,"廳")</f>
        <v>2</v>
      </c>
      <c r="L10" cm="1">
        <f t="array" ref="L10">GetNumByUnit(E10,"衛")</f>
        <v>2</v>
      </c>
      <c r="M10" t="str">
        <f t="shared" si="0"/>
        <v xml:space="preserve">台北市士林區德行東路  </v>
      </c>
      <c r="N10" t="str">
        <f t="shared" si="1"/>
        <v>台北市</v>
      </c>
      <c r="O10">
        <f t="shared" si="2"/>
        <v>45000</v>
      </c>
      <c r="P10" t="str">
        <f>_xlfn.XLOOKUP(N10,區隔!$B$3:$B$20,區隔!C$3:C$20,0)</f>
        <v>北部</v>
      </c>
      <c r="Q10" t="str">
        <f>LOOKUP(C10,區隔!$F$3:$F$5,區隔!$E$3:$E$5)</f>
        <v>大坪數</v>
      </c>
      <c r="R10">
        <f t="shared" si="3"/>
        <v>10</v>
      </c>
    </row>
    <row r="11" spans="1:18" x14ac:dyDescent="0.3">
      <c r="A11" s="7" t="s">
        <v>329</v>
      </c>
      <c r="B11" t="s">
        <v>0</v>
      </c>
      <c r="C11">
        <v>35.07</v>
      </c>
      <c r="D11" t="s">
        <v>248</v>
      </c>
      <c r="E11" t="s">
        <v>35</v>
      </c>
      <c r="F11" t="s">
        <v>330</v>
      </c>
      <c r="G11" t="s">
        <v>331</v>
      </c>
      <c r="H11" t="str" cm="1">
        <f t="array" ref="H11:I11">_xlfn.TEXTSPLIT(SUBSTITUTE(D11,"樓",""),"/",,,0)</f>
        <v>14</v>
      </c>
      <c r="I11" t="str">
        <v>15</v>
      </c>
      <c r="J11" cm="1">
        <f t="array" ref="J11">GetNumByUnit(E11,"房")</f>
        <v>2</v>
      </c>
      <c r="K11" cm="1">
        <f t="array" ref="K11">GetNumByUnit(E11,"廳")</f>
        <v>2</v>
      </c>
      <c r="L11" cm="1">
        <f t="array" ref="L11">GetNumByUnit(E11,"衛")</f>
        <v>1</v>
      </c>
      <c r="M11" t="str">
        <f t="shared" si="0"/>
        <v xml:space="preserve">台中市太平區環中東路三段  </v>
      </c>
      <c r="N11" t="str">
        <f t="shared" si="1"/>
        <v>台中市</v>
      </c>
      <c r="O11">
        <f t="shared" si="2"/>
        <v>28500</v>
      </c>
      <c r="P11" t="str">
        <f>_xlfn.XLOOKUP(N11,區隔!$B$3:$B$20,區隔!C$3:C$20,0)</f>
        <v>中部</v>
      </c>
      <c r="Q11" t="str">
        <f>LOOKUP(C11,區隔!$F$3:$F$5,區隔!$E$3:$E$5)</f>
        <v>大坪數</v>
      </c>
      <c r="R11">
        <f t="shared" si="3"/>
        <v>20</v>
      </c>
    </row>
    <row r="12" spans="1:18" x14ac:dyDescent="0.3">
      <c r="A12" s="7" t="s">
        <v>920</v>
      </c>
      <c r="B12" t="s">
        <v>0</v>
      </c>
      <c r="C12">
        <v>21.07</v>
      </c>
      <c r="D12" t="s">
        <v>309</v>
      </c>
      <c r="E12" t="s">
        <v>921</v>
      </c>
      <c r="F12" t="s">
        <v>922</v>
      </c>
      <c r="G12" t="s">
        <v>431</v>
      </c>
      <c r="H12" t="str" cm="1">
        <f t="array" ref="H12:I12">_xlfn.TEXTSPLIT(SUBSTITUTE(D12,"樓",""),"/",,,0)</f>
        <v>7</v>
      </c>
      <c r="I12" t="str">
        <v>11</v>
      </c>
      <c r="J12" cm="1">
        <f t="array" ref="J12">GetNumByUnit(E12,"房")</f>
        <v>2</v>
      </c>
      <c r="K12" cm="1">
        <f t="array" ref="K12">GetNumByUnit(E12,"廳")</f>
        <v>2</v>
      </c>
      <c r="L12" cm="1">
        <f t="array" ref="L12">GetNumByUnit(E12,"衛")</f>
        <v>2</v>
      </c>
      <c r="M12" t="str">
        <f t="shared" si="0"/>
        <v xml:space="preserve">台中市北屯區軍福十三路  </v>
      </c>
      <c r="N12" t="str">
        <f t="shared" si="1"/>
        <v>台中市</v>
      </c>
      <c r="O12">
        <f t="shared" si="2"/>
        <v>18800</v>
      </c>
      <c r="P12" t="str">
        <f>_xlfn.XLOOKUP(N12,區隔!$B$3:$B$20,區隔!C$3:C$20,0)</f>
        <v>中部</v>
      </c>
      <c r="Q12" t="str">
        <f>LOOKUP(C12,區隔!$F$3:$F$5,區隔!$E$3:$E$5)</f>
        <v>中坪數</v>
      </c>
      <c r="R12">
        <f t="shared" si="3"/>
        <v>20</v>
      </c>
    </row>
    <row r="13" spans="1:18" x14ac:dyDescent="0.3">
      <c r="A13" s="7" t="s">
        <v>332</v>
      </c>
      <c r="B13" t="s">
        <v>0</v>
      </c>
      <c r="C13">
        <v>41.87</v>
      </c>
      <c r="D13" t="s">
        <v>333</v>
      </c>
      <c r="E13" t="s">
        <v>29</v>
      </c>
      <c r="F13" t="s">
        <v>334</v>
      </c>
      <c r="G13" t="s">
        <v>116</v>
      </c>
      <c r="H13" t="str" cm="1">
        <f t="array" ref="H13:I13">_xlfn.TEXTSPLIT(SUBSTITUTE(D13,"樓",""),"/",,,0)</f>
        <v>21</v>
      </c>
      <c r="I13" t="str">
        <v>22</v>
      </c>
      <c r="J13" cm="1">
        <f t="array" ref="J13">GetNumByUnit(E13,"房")</f>
        <v>3</v>
      </c>
      <c r="K13" cm="1">
        <f t="array" ref="K13">GetNumByUnit(E13,"廳")</f>
        <v>2</v>
      </c>
      <c r="L13" cm="1">
        <f t="array" ref="L13">GetNumByUnit(E13,"衛")</f>
        <v>2</v>
      </c>
      <c r="M13" t="str">
        <f t="shared" si="0"/>
        <v xml:space="preserve">高雄市橋頭區橋都路  </v>
      </c>
      <c r="N13" t="str">
        <f t="shared" si="1"/>
        <v>高雄市</v>
      </c>
      <c r="O13">
        <f t="shared" si="2"/>
        <v>23000</v>
      </c>
      <c r="P13" t="str">
        <f>_xlfn.XLOOKUP(N13,區隔!$B$3:$B$20,區隔!C$3:C$20,0)</f>
        <v>南部</v>
      </c>
      <c r="Q13" t="str">
        <f>LOOKUP(C13,區隔!$F$3:$F$5,區隔!$E$3:$E$5)</f>
        <v>大坪數</v>
      </c>
      <c r="R13">
        <f t="shared" si="3"/>
        <v>30</v>
      </c>
    </row>
    <row r="14" spans="1:18" x14ac:dyDescent="0.3">
      <c r="A14" s="7" t="s">
        <v>923</v>
      </c>
      <c r="B14" t="s">
        <v>0</v>
      </c>
      <c r="C14">
        <v>27.61</v>
      </c>
      <c r="D14" t="s">
        <v>170</v>
      </c>
      <c r="E14" t="s">
        <v>95</v>
      </c>
      <c r="F14" t="s">
        <v>572</v>
      </c>
      <c r="G14" t="s">
        <v>18</v>
      </c>
      <c r="H14" t="str" cm="1">
        <f t="array" ref="H14:I14">_xlfn.TEXTSPLIT(SUBSTITUTE(D14,"樓",""),"/",,,0)</f>
        <v>5</v>
      </c>
      <c r="I14" t="str">
        <v>7</v>
      </c>
      <c r="J14" cm="1">
        <f t="array" ref="J14">GetNumByUnit(E14,"房")</f>
        <v>3</v>
      </c>
      <c r="K14" cm="1">
        <f t="array" ref="K14">GetNumByUnit(E14,"廳")</f>
        <v>2</v>
      </c>
      <c r="L14" cm="1">
        <f t="array" ref="L14">GetNumByUnit(E14,"衛")</f>
        <v>1</v>
      </c>
      <c r="M14" t="str">
        <f t="shared" si="0"/>
        <v xml:space="preserve">新北市汐止區樟樹一路  </v>
      </c>
      <c r="N14" t="str">
        <f t="shared" si="1"/>
        <v>新北市</v>
      </c>
      <c r="O14">
        <f t="shared" si="2"/>
        <v>25000</v>
      </c>
      <c r="P14" t="str">
        <f>_xlfn.XLOOKUP(N14,區隔!$B$3:$B$20,區隔!C$3:C$20,0)</f>
        <v>北部</v>
      </c>
      <c r="Q14" t="str">
        <f>LOOKUP(C14,區隔!$F$3:$F$5,區隔!$E$3:$E$5)</f>
        <v>中坪數</v>
      </c>
      <c r="R14">
        <f t="shared" si="3"/>
        <v>10</v>
      </c>
    </row>
    <row r="15" spans="1:18" x14ac:dyDescent="0.3">
      <c r="A15" s="7" t="s">
        <v>924</v>
      </c>
      <c r="B15" t="s">
        <v>0</v>
      </c>
      <c r="C15">
        <v>20.32</v>
      </c>
      <c r="D15" t="s">
        <v>925</v>
      </c>
      <c r="E15" t="s">
        <v>454</v>
      </c>
      <c r="F15" t="s">
        <v>926</v>
      </c>
      <c r="G15" t="s">
        <v>64</v>
      </c>
      <c r="H15" t="str" cm="1">
        <f t="array" ref="H15:I15">_xlfn.TEXTSPLIT(SUBSTITUTE(D15,"樓",""),"/",,,0)</f>
        <v>1-2</v>
      </c>
      <c r="I15" t="str">
        <v>1</v>
      </c>
      <c r="J15" cm="1">
        <f t="array" ref="J15">GetNumByUnit(E15,"房")</f>
        <v>4</v>
      </c>
      <c r="K15" cm="1">
        <f t="array" ref="K15">GetNumByUnit(E15,"廳")</f>
        <v>2</v>
      </c>
      <c r="L15" cm="1">
        <f t="array" ref="L15">GetNumByUnit(E15,"衛")</f>
        <v>2</v>
      </c>
      <c r="M15" t="str">
        <f t="shared" si="0"/>
        <v xml:space="preserve">高雄市三民區大豐二路  </v>
      </c>
      <c r="N15" t="str">
        <f t="shared" si="1"/>
        <v>高雄市</v>
      </c>
      <c r="O15">
        <f t="shared" si="2"/>
        <v>16000</v>
      </c>
      <c r="P15" t="str">
        <f>_xlfn.XLOOKUP(N15,區隔!$B$3:$B$20,區隔!C$3:C$20,0)</f>
        <v>南部</v>
      </c>
      <c r="Q15" t="str">
        <f>LOOKUP(C15,區隔!$F$3:$F$5,區隔!$E$3:$E$5)</f>
        <v>中坪數</v>
      </c>
      <c r="R15">
        <f t="shared" si="3"/>
        <v>10</v>
      </c>
    </row>
    <row r="16" spans="1:18" x14ac:dyDescent="0.3">
      <c r="A16" s="7" t="s">
        <v>927</v>
      </c>
      <c r="B16" t="s">
        <v>0</v>
      </c>
      <c r="C16">
        <v>14.26</v>
      </c>
      <c r="D16" t="s">
        <v>26</v>
      </c>
      <c r="E16" t="s">
        <v>310</v>
      </c>
      <c r="F16" t="s">
        <v>247</v>
      </c>
      <c r="G16" t="s">
        <v>112</v>
      </c>
      <c r="H16" t="str" cm="1">
        <f t="array" ref="H16:I16">_xlfn.TEXTSPLIT(SUBSTITUTE(D16,"樓",""),"/",,,0)</f>
        <v>2</v>
      </c>
      <c r="I16" t="str">
        <v>7</v>
      </c>
      <c r="J16" cm="1">
        <f t="array" ref="J16">GetNumByUnit(E16,"房")</f>
        <v>3</v>
      </c>
      <c r="K16" cm="1">
        <f t="array" ref="K16">GetNumByUnit(E16,"廳")</f>
        <v>1</v>
      </c>
      <c r="L16" cm="1">
        <f t="array" ref="L16">GetNumByUnit(E16,"衛")</f>
        <v>1</v>
      </c>
      <c r="M16" t="str">
        <f t="shared" si="0"/>
        <v xml:space="preserve">台北市信義區吳興街  </v>
      </c>
      <c r="N16" t="str">
        <f t="shared" si="1"/>
        <v>台北市</v>
      </c>
      <c r="O16">
        <f t="shared" si="2"/>
        <v>35000</v>
      </c>
      <c r="P16" t="str">
        <f>_xlfn.XLOOKUP(N16,區隔!$B$3:$B$20,區隔!C$3:C$20,0)</f>
        <v>北部</v>
      </c>
      <c r="Q16" t="str">
        <f>LOOKUP(C16,區隔!$F$3:$F$5,區隔!$E$3:$E$5)</f>
        <v>小坪數</v>
      </c>
      <c r="R16">
        <f t="shared" si="3"/>
        <v>10</v>
      </c>
    </row>
    <row r="17" spans="1:18" x14ac:dyDescent="0.3">
      <c r="A17" s="7" t="s">
        <v>928</v>
      </c>
      <c r="B17" t="s">
        <v>0</v>
      </c>
      <c r="C17">
        <v>34.06</v>
      </c>
      <c r="D17" t="s">
        <v>571</v>
      </c>
      <c r="E17" t="s">
        <v>29</v>
      </c>
      <c r="F17" t="s">
        <v>929</v>
      </c>
      <c r="G17" t="s">
        <v>116</v>
      </c>
      <c r="H17" t="str" cm="1">
        <f t="array" ref="H17:I17">_xlfn.TEXTSPLIT(SUBSTITUTE(D17,"樓",""),"/",,,0)</f>
        <v>11</v>
      </c>
      <c r="I17" t="str">
        <v>16</v>
      </c>
      <c r="J17" cm="1">
        <f t="array" ref="J17">GetNumByUnit(E17,"房")</f>
        <v>3</v>
      </c>
      <c r="K17" cm="1">
        <f t="array" ref="K17">GetNumByUnit(E17,"廳")</f>
        <v>2</v>
      </c>
      <c r="L17" cm="1">
        <f t="array" ref="L17">GetNumByUnit(E17,"衛")</f>
        <v>2</v>
      </c>
      <c r="M17" t="str">
        <f t="shared" si="0"/>
        <v xml:space="preserve">台中市南屯區大業路  </v>
      </c>
      <c r="N17" t="str">
        <f t="shared" si="1"/>
        <v>台中市</v>
      </c>
      <c r="O17">
        <f t="shared" si="2"/>
        <v>23000</v>
      </c>
      <c r="P17" t="str">
        <f>_xlfn.XLOOKUP(N17,區隔!$B$3:$B$20,區隔!C$3:C$20,0)</f>
        <v>中部</v>
      </c>
      <c r="Q17" t="str">
        <f>LOOKUP(C17,區隔!$F$3:$F$5,區隔!$E$3:$E$5)</f>
        <v>大坪數</v>
      </c>
      <c r="R17">
        <f t="shared" si="3"/>
        <v>20</v>
      </c>
    </row>
    <row r="18" spans="1:18" x14ac:dyDescent="0.3">
      <c r="A18" s="7" t="s">
        <v>930</v>
      </c>
      <c r="B18" t="s">
        <v>0</v>
      </c>
      <c r="C18">
        <v>31.43</v>
      </c>
      <c r="D18" t="s">
        <v>170</v>
      </c>
      <c r="E18" t="s">
        <v>29</v>
      </c>
      <c r="F18" t="s">
        <v>931</v>
      </c>
      <c r="G18" t="s">
        <v>136</v>
      </c>
      <c r="H18" t="str" cm="1">
        <f t="array" ref="H18:I18">_xlfn.TEXTSPLIT(SUBSTITUTE(D18,"樓",""),"/",,,0)</f>
        <v>5</v>
      </c>
      <c r="I18" t="str">
        <v>7</v>
      </c>
      <c r="J18" cm="1">
        <f t="array" ref="J18">GetNumByUnit(E18,"房")</f>
        <v>3</v>
      </c>
      <c r="K18" cm="1">
        <f t="array" ref="K18">GetNumByUnit(E18,"廳")</f>
        <v>2</v>
      </c>
      <c r="L18" cm="1">
        <f t="array" ref="L18">GetNumByUnit(E18,"衛")</f>
        <v>2</v>
      </c>
      <c r="M18" t="str">
        <f t="shared" si="0"/>
        <v xml:space="preserve">台中市北屯區松竹路二段  </v>
      </c>
      <c r="N18" t="str">
        <f t="shared" si="1"/>
        <v>台中市</v>
      </c>
      <c r="O18">
        <f t="shared" si="2"/>
        <v>19000</v>
      </c>
      <c r="P18" t="str">
        <f>_xlfn.XLOOKUP(N18,區隔!$B$3:$B$20,區隔!C$3:C$20,0)</f>
        <v>中部</v>
      </c>
      <c r="Q18" t="str">
        <f>LOOKUP(C18,區隔!$F$3:$F$5,區隔!$E$3:$E$5)</f>
        <v>大坪數</v>
      </c>
      <c r="R18">
        <f t="shared" si="3"/>
        <v>10</v>
      </c>
    </row>
    <row r="19" spans="1:18" x14ac:dyDescent="0.3">
      <c r="A19" s="7" t="s">
        <v>932</v>
      </c>
      <c r="B19" t="s">
        <v>0</v>
      </c>
      <c r="C19">
        <v>46.56</v>
      </c>
      <c r="D19" t="s">
        <v>322</v>
      </c>
      <c r="E19" t="s">
        <v>29</v>
      </c>
      <c r="F19" t="s">
        <v>416</v>
      </c>
      <c r="G19" t="s">
        <v>54</v>
      </c>
      <c r="H19" t="str" cm="1">
        <f t="array" ref="H19:I19">_xlfn.TEXTSPLIT(SUBSTITUTE(D19,"樓",""),"/",,,0)</f>
        <v>14</v>
      </c>
      <c r="I19" t="str">
        <v>24</v>
      </c>
      <c r="J19" cm="1">
        <f t="array" ref="J19">GetNumByUnit(E19,"房")</f>
        <v>3</v>
      </c>
      <c r="K19" cm="1">
        <f t="array" ref="K19">GetNumByUnit(E19,"廳")</f>
        <v>2</v>
      </c>
      <c r="L19" cm="1">
        <f t="array" ref="L19">GetNumByUnit(E19,"衛")</f>
        <v>2</v>
      </c>
      <c r="M19" t="str">
        <f t="shared" si="0"/>
        <v xml:space="preserve">台中市北區進化路  </v>
      </c>
      <c r="N19" t="str">
        <f t="shared" si="1"/>
        <v>台中市</v>
      </c>
      <c r="O19">
        <f t="shared" si="2"/>
        <v>28000</v>
      </c>
      <c r="P19" t="str">
        <f>_xlfn.XLOOKUP(N19,區隔!$B$3:$B$20,區隔!C$3:C$20,0)</f>
        <v>中部</v>
      </c>
      <c r="Q19" t="str">
        <f>LOOKUP(C19,區隔!$F$3:$F$5,區隔!$E$3:$E$5)</f>
        <v>大坪數</v>
      </c>
      <c r="R19">
        <f t="shared" si="3"/>
        <v>30</v>
      </c>
    </row>
    <row r="20" spans="1:18" x14ac:dyDescent="0.3">
      <c r="A20" s="7" t="s">
        <v>933</v>
      </c>
      <c r="B20" t="s">
        <v>0</v>
      </c>
      <c r="C20">
        <v>46.34</v>
      </c>
      <c r="D20" t="s">
        <v>240</v>
      </c>
      <c r="E20" t="s">
        <v>29</v>
      </c>
      <c r="F20" t="s">
        <v>419</v>
      </c>
      <c r="G20" t="s">
        <v>8</v>
      </c>
      <c r="H20" t="str" cm="1">
        <f t="array" ref="H20:I20">_xlfn.TEXTSPLIT(SUBSTITUTE(D20,"樓",""),"/",,,0)</f>
        <v>3</v>
      </c>
      <c r="I20" t="str">
        <v>15</v>
      </c>
      <c r="J20" cm="1">
        <f t="array" ref="J20">GetNumByUnit(E20,"房")</f>
        <v>3</v>
      </c>
      <c r="K20" cm="1">
        <f t="array" ref="K20">GetNumByUnit(E20,"廳")</f>
        <v>2</v>
      </c>
      <c r="L20" cm="1">
        <f t="array" ref="L20">GetNumByUnit(E20,"衛")</f>
        <v>2</v>
      </c>
      <c r="M20" t="str">
        <f t="shared" si="0"/>
        <v xml:space="preserve">台中市北屯區環太東路  </v>
      </c>
      <c r="N20" t="str">
        <f t="shared" si="1"/>
        <v>台中市</v>
      </c>
      <c r="O20">
        <f t="shared" si="2"/>
        <v>31000</v>
      </c>
      <c r="P20" t="str">
        <f>_xlfn.XLOOKUP(N20,區隔!$B$3:$B$20,區隔!C$3:C$20,0)</f>
        <v>中部</v>
      </c>
      <c r="Q20" t="str">
        <f>LOOKUP(C20,區隔!$F$3:$F$5,區隔!$E$3:$E$5)</f>
        <v>大坪數</v>
      </c>
      <c r="R20">
        <f t="shared" si="3"/>
        <v>20</v>
      </c>
    </row>
    <row r="21" spans="1:18" x14ac:dyDescent="0.3">
      <c r="A21" s="7" t="s">
        <v>934</v>
      </c>
      <c r="B21" t="s">
        <v>0</v>
      </c>
      <c r="C21">
        <v>45.67</v>
      </c>
      <c r="D21" t="s">
        <v>70</v>
      </c>
      <c r="E21" t="s">
        <v>27</v>
      </c>
      <c r="F21" t="s">
        <v>419</v>
      </c>
      <c r="G21" t="s">
        <v>18</v>
      </c>
      <c r="H21" t="str" cm="1">
        <f t="array" ref="H21:I21">_xlfn.TEXTSPLIT(SUBSTITUTE(D21,"樓",""),"/",,,0)</f>
        <v>12</v>
      </c>
      <c r="I21" t="str">
        <v>14</v>
      </c>
      <c r="J21" cm="1">
        <f t="array" ref="J21">GetNumByUnit(E21,"房")</f>
        <v>2</v>
      </c>
      <c r="K21" cm="1">
        <f t="array" ref="K21">GetNumByUnit(E21,"廳")</f>
        <v>2</v>
      </c>
      <c r="L21" cm="1">
        <f t="array" ref="L21">GetNumByUnit(E21,"衛")</f>
        <v>2</v>
      </c>
      <c r="M21" t="str">
        <f t="shared" si="0"/>
        <v xml:space="preserve">台中市北屯區環太東路  </v>
      </c>
      <c r="N21" t="str">
        <f t="shared" si="1"/>
        <v>台中市</v>
      </c>
      <c r="O21">
        <f t="shared" si="2"/>
        <v>25000</v>
      </c>
      <c r="P21" t="str">
        <f>_xlfn.XLOOKUP(N21,區隔!$B$3:$B$20,區隔!C$3:C$20,0)</f>
        <v>中部</v>
      </c>
      <c r="Q21" t="str">
        <f>LOOKUP(C21,區隔!$F$3:$F$5,區隔!$E$3:$E$5)</f>
        <v>大坪數</v>
      </c>
      <c r="R21">
        <f t="shared" si="3"/>
        <v>20</v>
      </c>
    </row>
    <row r="22" spans="1:18" x14ac:dyDescent="0.3">
      <c r="A22" s="7" t="s">
        <v>6</v>
      </c>
      <c r="B22" t="s">
        <v>0</v>
      </c>
      <c r="C22">
        <v>9</v>
      </c>
      <c r="D22" t="s">
        <v>26</v>
      </c>
      <c r="E22" t="s">
        <v>30</v>
      </c>
      <c r="F22" t="s">
        <v>7</v>
      </c>
      <c r="G22" t="s">
        <v>115</v>
      </c>
      <c r="H22" t="str" cm="1">
        <f t="array" ref="H22:I22">_xlfn.TEXTSPLIT(SUBSTITUTE(D22,"樓",""),"/",,,0)</f>
        <v>2</v>
      </c>
      <c r="I22" t="str">
        <v>7</v>
      </c>
      <c r="J22" cm="1">
        <f t="array" ref="J22">GetNumByUnit(E22,"房")</f>
        <v>1</v>
      </c>
      <c r="K22" cm="1">
        <f t="array" ref="K22">GetNumByUnit(E22,"廳")</f>
        <v>1</v>
      </c>
      <c r="L22" cm="1">
        <f t="array" ref="L22">GetNumByUnit(E22,"衛")</f>
        <v>1</v>
      </c>
      <c r="M22" t="str">
        <f t="shared" si="0"/>
        <v xml:space="preserve">台北市大安區樂業街  </v>
      </c>
      <c r="N22" t="str">
        <f t="shared" si="1"/>
        <v>台北市</v>
      </c>
      <c r="O22">
        <f t="shared" si="2"/>
        <v>30000</v>
      </c>
      <c r="P22" t="str">
        <f>_xlfn.XLOOKUP(N22,區隔!$B$3:$B$20,區隔!C$3:C$20,0)</f>
        <v>北部</v>
      </c>
      <c r="Q22" t="str">
        <f>LOOKUP(C22,區隔!$F$3:$F$5,區隔!$E$3:$E$5)</f>
        <v>小坪數</v>
      </c>
      <c r="R22">
        <f t="shared" si="3"/>
        <v>10</v>
      </c>
    </row>
    <row r="23" spans="1:18" x14ac:dyDescent="0.3">
      <c r="A23" s="7" t="s">
        <v>336</v>
      </c>
      <c r="B23" t="s">
        <v>0</v>
      </c>
      <c r="C23">
        <v>7.99</v>
      </c>
      <c r="D23" t="s">
        <v>337</v>
      </c>
      <c r="E23" t="s">
        <v>33</v>
      </c>
      <c r="F23" t="s">
        <v>338</v>
      </c>
      <c r="G23" t="s">
        <v>120</v>
      </c>
      <c r="H23" t="str" cm="1">
        <f t="array" ref="H23:I23">_xlfn.TEXTSPLIT(SUBSTITUTE(D23,"樓",""),"/",,,0)</f>
        <v>7</v>
      </c>
      <c r="I23" t="str">
        <v>19</v>
      </c>
      <c r="J23" cm="1">
        <f t="array" ref="J23">GetNumByUnit(E23,"房")</f>
        <v>1</v>
      </c>
      <c r="K23" t="str" cm="1">
        <f t="array" ref="K23">GetNumByUnit(E23,"廳")</f>
        <v/>
      </c>
      <c r="L23" cm="1">
        <f t="array" ref="L23">GetNumByUnit(E23,"衛")</f>
        <v>1</v>
      </c>
      <c r="M23" t="str">
        <f t="shared" si="0"/>
        <v xml:space="preserve"> 台中市西區三民路一段  </v>
      </c>
      <c r="N23" t="str">
        <f t="shared" si="1"/>
        <v>台中市</v>
      </c>
      <c r="O23">
        <f t="shared" si="2"/>
        <v>8500</v>
      </c>
      <c r="P23" t="str">
        <f>_xlfn.XLOOKUP(N23,區隔!$B$3:$B$20,區隔!C$3:C$20,0)</f>
        <v>中部</v>
      </c>
      <c r="Q23" t="str">
        <f>LOOKUP(C23,區隔!$F$3:$F$5,區隔!$E$3:$E$5)</f>
        <v>小坪數</v>
      </c>
      <c r="R23">
        <f t="shared" si="3"/>
        <v>20</v>
      </c>
    </row>
    <row r="24" spans="1:18" x14ac:dyDescent="0.3">
      <c r="A24" s="7" t="s">
        <v>339</v>
      </c>
      <c r="B24" t="s">
        <v>0</v>
      </c>
      <c r="C24">
        <v>28.4</v>
      </c>
      <c r="D24" t="s">
        <v>340</v>
      </c>
      <c r="E24" t="s">
        <v>35</v>
      </c>
      <c r="F24" t="s">
        <v>341</v>
      </c>
      <c r="G24" t="s">
        <v>18</v>
      </c>
      <c r="H24" t="str" cm="1">
        <f t="array" ref="H24:I24">_xlfn.TEXTSPLIT(SUBSTITUTE(D24,"樓",""),"/",,,0)</f>
        <v>15</v>
      </c>
      <c r="I24" t="str">
        <v>31</v>
      </c>
      <c r="J24" cm="1">
        <f t="array" ref="J24">GetNumByUnit(E24,"房")</f>
        <v>2</v>
      </c>
      <c r="K24" cm="1">
        <f t="array" ref="K24">GetNumByUnit(E24,"廳")</f>
        <v>2</v>
      </c>
      <c r="L24" cm="1">
        <f t="array" ref="L24">GetNumByUnit(E24,"衛")</f>
        <v>1</v>
      </c>
      <c r="M24" t="str">
        <f t="shared" si="0"/>
        <v xml:space="preserve">台中市南屯區文心南路  </v>
      </c>
      <c r="N24" t="str">
        <f t="shared" si="1"/>
        <v>台中市</v>
      </c>
      <c r="O24">
        <f t="shared" si="2"/>
        <v>25000</v>
      </c>
      <c r="P24" t="str">
        <f>_xlfn.XLOOKUP(N24,區隔!$B$3:$B$20,區隔!C$3:C$20,0)</f>
        <v>中部</v>
      </c>
      <c r="Q24" t="str">
        <f>LOOKUP(C24,區隔!$F$3:$F$5,區隔!$E$3:$E$5)</f>
        <v>中坪數</v>
      </c>
      <c r="R24">
        <f t="shared" si="3"/>
        <v>40</v>
      </c>
    </row>
    <row r="25" spans="1:18" x14ac:dyDescent="0.3">
      <c r="A25" s="7" t="s">
        <v>935</v>
      </c>
      <c r="B25" t="s">
        <v>0</v>
      </c>
      <c r="C25">
        <v>37.03</v>
      </c>
      <c r="D25" t="s">
        <v>126</v>
      </c>
      <c r="E25" t="s">
        <v>44</v>
      </c>
      <c r="F25" t="s">
        <v>229</v>
      </c>
      <c r="G25" t="s">
        <v>112</v>
      </c>
      <c r="H25" t="str" cm="1">
        <f t="array" ref="H25:I25">_xlfn.TEXTSPLIT(SUBSTITUTE(D25,"樓",""),"/",,,0)</f>
        <v>2</v>
      </c>
      <c r="I25" t="str">
        <v>10</v>
      </c>
      <c r="J25" cm="1">
        <f t="array" ref="J25">GetNumByUnit(E25,"房")</f>
        <v>2</v>
      </c>
      <c r="K25" cm="1">
        <f t="array" ref="K25">GetNumByUnit(E25,"廳")</f>
        <v>2</v>
      </c>
      <c r="L25" cm="1">
        <f t="array" ref="L25">GetNumByUnit(E25,"衛")</f>
        <v>2</v>
      </c>
      <c r="M25" t="str">
        <f t="shared" si="0"/>
        <v xml:space="preserve">台北市北投區稻香路  </v>
      </c>
      <c r="N25" t="str">
        <f t="shared" si="1"/>
        <v>台北市</v>
      </c>
      <c r="O25">
        <f t="shared" si="2"/>
        <v>35000</v>
      </c>
      <c r="P25" t="str">
        <f>_xlfn.XLOOKUP(N25,區隔!$B$3:$B$20,區隔!C$3:C$20,0)</f>
        <v>北部</v>
      </c>
      <c r="Q25" t="str">
        <f>LOOKUP(C25,區隔!$F$3:$F$5,區隔!$E$3:$E$5)</f>
        <v>大坪數</v>
      </c>
      <c r="R25">
        <f t="shared" si="3"/>
        <v>10</v>
      </c>
    </row>
    <row r="26" spans="1:18" x14ac:dyDescent="0.3">
      <c r="A26" s="7" t="s">
        <v>10</v>
      </c>
      <c r="B26" t="s">
        <v>0</v>
      </c>
      <c r="C26">
        <v>12.55</v>
      </c>
      <c r="D26" t="s">
        <v>26</v>
      </c>
      <c r="E26" t="s">
        <v>30</v>
      </c>
      <c r="F26" t="s">
        <v>11</v>
      </c>
      <c r="G26" t="s">
        <v>12</v>
      </c>
      <c r="H26" t="str" cm="1">
        <f t="array" ref="H26:I26">_xlfn.TEXTSPLIT(SUBSTITUTE(D26,"樓",""),"/",,,0)</f>
        <v>2</v>
      </c>
      <c r="I26" t="str">
        <v>7</v>
      </c>
      <c r="J26" cm="1">
        <f t="array" ref="J26">GetNumByUnit(E26,"房")</f>
        <v>1</v>
      </c>
      <c r="K26" cm="1">
        <f t="array" ref="K26">GetNumByUnit(E26,"廳")</f>
        <v>1</v>
      </c>
      <c r="L26" cm="1">
        <f t="array" ref="L26">GetNumByUnit(E26,"衛")</f>
        <v>1</v>
      </c>
      <c r="M26" t="str">
        <f t="shared" si="0"/>
        <v xml:space="preserve">台北市北投區泉源路  </v>
      </c>
      <c r="N26" t="str">
        <f t="shared" si="1"/>
        <v>台北市</v>
      </c>
      <c r="O26">
        <f t="shared" si="2"/>
        <v>22000</v>
      </c>
      <c r="P26" t="str">
        <f>_xlfn.XLOOKUP(N26,區隔!$B$3:$B$20,區隔!C$3:C$20,0)</f>
        <v>北部</v>
      </c>
      <c r="Q26" t="str">
        <f>LOOKUP(C26,區隔!$F$3:$F$5,區隔!$E$3:$E$5)</f>
        <v>小坪數</v>
      </c>
      <c r="R26">
        <f t="shared" si="3"/>
        <v>10</v>
      </c>
    </row>
    <row r="27" spans="1:18" x14ac:dyDescent="0.3">
      <c r="A27" s="7" t="s">
        <v>936</v>
      </c>
      <c r="B27" t="s">
        <v>0</v>
      </c>
      <c r="C27">
        <v>43.95</v>
      </c>
      <c r="D27" t="s">
        <v>51</v>
      </c>
      <c r="E27" t="s">
        <v>29</v>
      </c>
      <c r="F27" t="s">
        <v>343</v>
      </c>
      <c r="G27" t="s">
        <v>15</v>
      </c>
      <c r="H27" t="str" cm="1">
        <f t="array" ref="H27:I27">_xlfn.TEXTSPLIT(SUBSTITUTE(D27,"樓",""),"/",,,0)</f>
        <v>13</v>
      </c>
      <c r="I27" t="str">
        <v>15</v>
      </c>
      <c r="J27" cm="1">
        <f t="array" ref="J27">GetNumByUnit(E27,"房")</f>
        <v>3</v>
      </c>
      <c r="K27" cm="1">
        <f t="array" ref="K27">GetNumByUnit(E27,"廳")</f>
        <v>2</v>
      </c>
      <c r="L27" cm="1">
        <f t="array" ref="L27">GetNumByUnit(E27,"衛")</f>
        <v>2</v>
      </c>
      <c r="M27" t="str">
        <f t="shared" si="0"/>
        <v xml:space="preserve">高雄市苓雅區三多四路  </v>
      </c>
      <c r="N27" t="str">
        <f t="shared" si="1"/>
        <v>高雄市</v>
      </c>
      <c r="O27">
        <f t="shared" si="2"/>
        <v>32000</v>
      </c>
      <c r="P27" t="str">
        <f>_xlfn.XLOOKUP(N27,區隔!$B$3:$B$20,區隔!C$3:C$20,0)</f>
        <v>南部</v>
      </c>
      <c r="Q27" t="str">
        <f>LOOKUP(C27,區隔!$F$3:$F$5,區隔!$E$3:$E$5)</f>
        <v>大坪數</v>
      </c>
      <c r="R27">
        <f t="shared" si="3"/>
        <v>20</v>
      </c>
    </row>
    <row r="28" spans="1:18" x14ac:dyDescent="0.3">
      <c r="A28" s="7" t="s">
        <v>344</v>
      </c>
      <c r="B28" t="s">
        <v>0</v>
      </c>
      <c r="C28">
        <v>4.5999999999999996</v>
      </c>
      <c r="D28" t="s">
        <v>37</v>
      </c>
      <c r="E28" t="s">
        <v>33</v>
      </c>
      <c r="F28" t="s">
        <v>345</v>
      </c>
      <c r="G28" t="s">
        <v>218</v>
      </c>
      <c r="H28" t="str" cm="1">
        <f t="array" ref="H28:I28">_xlfn.TEXTSPLIT(SUBSTITUTE(D28,"樓",""),"/",,,0)</f>
        <v>5</v>
      </c>
      <c r="I28" t="str">
        <v>5</v>
      </c>
      <c r="J28" cm="1">
        <f t="array" ref="J28">GetNumByUnit(E28,"房")</f>
        <v>1</v>
      </c>
      <c r="K28" t="str" cm="1">
        <f t="array" ref="K28">GetNumByUnit(E28,"廳")</f>
        <v/>
      </c>
      <c r="L28" cm="1">
        <f t="array" ref="L28">GetNumByUnit(E28,"衛")</f>
        <v>1</v>
      </c>
      <c r="M28" t="str">
        <f t="shared" si="0"/>
        <v xml:space="preserve">台中市北區英士路  </v>
      </c>
      <c r="N28" t="str">
        <f t="shared" si="1"/>
        <v>台中市</v>
      </c>
      <c r="O28">
        <f t="shared" si="2"/>
        <v>6500</v>
      </c>
      <c r="P28" t="str">
        <f>_xlfn.XLOOKUP(N28,區隔!$B$3:$B$20,區隔!C$3:C$20,0)</f>
        <v>中部</v>
      </c>
      <c r="Q28" t="str">
        <f>LOOKUP(C28,區隔!$F$3:$F$5,區隔!$E$3:$E$5)</f>
        <v>小坪數</v>
      </c>
      <c r="R28">
        <f t="shared" si="3"/>
        <v>10</v>
      </c>
    </row>
    <row r="29" spans="1:18" x14ac:dyDescent="0.3">
      <c r="A29" s="7" t="s">
        <v>937</v>
      </c>
      <c r="B29" t="s">
        <v>0</v>
      </c>
      <c r="C29">
        <v>17.100000000000001</v>
      </c>
      <c r="D29" t="s">
        <v>139</v>
      </c>
      <c r="E29" t="s">
        <v>30</v>
      </c>
      <c r="F29" t="s">
        <v>534</v>
      </c>
      <c r="G29" t="s">
        <v>185</v>
      </c>
      <c r="H29" t="str" cm="1">
        <f t="array" ref="H29:I29">_xlfn.TEXTSPLIT(SUBSTITUTE(D29,"樓",""),"/",,,0)</f>
        <v>4</v>
      </c>
      <c r="I29" t="str">
        <v>15</v>
      </c>
      <c r="J29" cm="1">
        <f t="array" ref="J29">GetNumByUnit(E29,"房")</f>
        <v>1</v>
      </c>
      <c r="K29" cm="1">
        <f t="array" ref="K29">GetNumByUnit(E29,"廳")</f>
        <v>1</v>
      </c>
      <c r="L29" cm="1">
        <f t="array" ref="L29">GetNumByUnit(E29,"衛")</f>
        <v>1</v>
      </c>
      <c r="M29" t="str">
        <f t="shared" si="0"/>
        <v xml:space="preserve">新北市五股區成泰路三段  </v>
      </c>
      <c r="N29" t="str">
        <f t="shared" si="1"/>
        <v>新北市</v>
      </c>
      <c r="O29">
        <f t="shared" si="2"/>
        <v>20000</v>
      </c>
      <c r="P29" t="str">
        <f>_xlfn.XLOOKUP(N29,區隔!$B$3:$B$20,區隔!C$3:C$20,0)</f>
        <v>北部</v>
      </c>
      <c r="Q29" t="str">
        <f>LOOKUP(C29,區隔!$F$3:$F$5,區隔!$E$3:$E$5)</f>
        <v>中坪數</v>
      </c>
      <c r="R29">
        <f t="shared" si="3"/>
        <v>20</v>
      </c>
    </row>
    <row r="30" spans="1:18" x14ac:dyDescent="0.3">
      <c r="A30" s="7" t="s">
        <v>663</v>
      </c>
      <c r="B30" t="s">
        <v>0</v>
      </c>
      <c r="C30">
        <v>32.72</v>
      </c>
      <c r="D30" t="s">
        <v>146</v>
      </c>
      <c r="E30" t="s">
        <v>35</v>
      </c>
      <c r="F30" t="s">
        <v>404</v>
      </c>
      <c r="G30" t="s">
        <v>18</v>
      </c>
      <c r="H30" t="str" cm="1">
        <f t="array" ref="H30:I30">_xlfn.TEXTSPLIT(SUBSTITUTE(D30,"樓",""),"/",,,0)</f>
        <v>2</v>
      </c>
      <c r="I30" t="str">
        <v>19</v>
      </c>
      <c r="J30" cm="1">
        <f t="array" ref="J30">GetNumByUnit(E30,"房")</f>
        <v>2</v>
      </c>
      <c r="K30" cm="1">
        <f t="array" ref="K30">GetNumByUnit(E30,"廳")</f>
        <v>2</v>
      </c>
      <c r="L30" cm="1">
        <f t="array" ref="L30">GetNumByUnit(E30,"衛")</f>
        <v>1</v>
      </c>
      <c r="M30" t="str">
        <f t="shared" si="0"/>
        <v xml:space="preserve">新北市三峽區學勤路  </v>
      </c>
      <c r="N30" t="str">
        <f t="shared" si="1"/>
        <v>新北市</v>
      </c>
      <c r="O30">
        <f t="shared" si="2"/>
        <v>25000</v>
      </c>
      <c r="P30" t="str">
        <f>_xlfn.XLOOKUP(N30,區隔!$B$3:$B$20,區隔!C$3:C$20,0)</f>
        <v>北部</v>
      </c>
      <c r="Q30" t="str">
        <f>LOOKUP(C30,區隔!$F$3:$F$5,區隔!$E$3:$E$5)</f>
        <v>大坪數</v>
      </c>
      <c r="R30">
        <f t="shared" si="3"/>
        <v>20</v>
      </c>
    </row>
    <row r="31" spans="1:18" x14ac:dyDescent="0.3">
      <c r="A31" s="7" t="s">
        <v>347</v>
      </c>
      <c r="B31" t="s">
        <v>0</v>
      </c>
      <c r="C31">
        <v>26.03</v>
      </c>
      <c r="D31" t="s">
        <v>138</v>
      </c>
      <c r="E31" t="s">
        <v>29</v>
      </c>
      <c r="F31" t="s">
        <v>348</v>
      </c>
      <c r="G31" t="s">
        <v>239</v>
      </c>
      <c r="H31" t="str" cm="1">
        <f t="array" ref="H31:I31">_xlfn.TEXTSPLIT(SUBSTITUTE(D31,"樓",""),"/",,,0)</f>
        <v>3</v>
      </c>
      <c r="I31" t="str">
        <v>5</v>
      </c>
      <c r="J31" cm="1">
        <f t="array" ref="J31">GetNumByUnit(E31,"房")</f>
        <v>3</v>
      </c>
      <c r="K31" cm="1">
        <f t="array" ref="K31">GetNumByUnit(E31,"廳")</f>
        <v>2</v>
      </c>
      <c r="L31" cm="1">
        <f t="array" ref="L31">GetNumByUnit(E31,"衛")</f>
        <v>2</v>
      </c>
      <c r="M31" t="str">
        <f t="shared" si="0"/>
        <v xml:space="preserve">台中市北區山西路二段  </v>
      </c>
      <c r="N31" t="str">
        <f t="shared" si="1"/>
        <v>台中市</v>
      </c>
      <c r="O31">
        <f t="shared" si="2"/>
        <v>18500</v>
      </c>
      <c r="P31" t="str">
        <f>_xlfn.XLOOKUP(N31,區隔!$B$3:$B$20,區隔!C$3:C$20,0)</f>
        <v>中部</v>
      </c>
      <c r="Q31" t="str">
        <f>LOOKUP(C31,區隔!$F$3:$F$5,區隔!$E$3:$E$5)</f>
        <v>中坪數</v>
      </c>
      <c r="R31">
        <f t="shared" si="3"/>
        <v>10</v>
      </c>
    </row>
    <row r="32" spans="1:18" x14ac:dyDescent="0.3">
      <c r="A32" s="7" t="s">
        <v>938</v>
      </c>
      <c r="B32" t="s">
        <v>0</v>
      </c>
      <c r="C32">
        <v>44.94</v>
      </c>
      <c r="D32" t="s">
        <v>461</v>
      </c>
      <c r="E32" t="s">
        <v>29</v>
      </c>
      <c r="F32" t="s">
        <v>939</v>
      </c>
      <c r="G32" t="s">
        <v>184</v>
      </c>
      <c r="H32" t="str" cm="1">
        <f t="array" ref="H32:I32">_xlfn.TEXTSPLIT(SUBSTITUTE(D32,"樓",""),"/",,,0)</f>
        <v>7</v>
      </c>
      <c r="I32" t="str">
        <v>24</v>
      </c>
      <c r="J32" cm="1">
        <f t="array" ref="J32">GetNumByUnit(E32,"房")</f>
        <v>3</v>
      </c>
      <c r="K32" cm="1">
        <f t="array" ref="K32">GetNumByUnit(E32,"廳")</f>
        <v>2</v>
      </c>
      <c r="L32" cm="1">
        <f t="array" ref="L32">GetNumByUnit(E32,"衛")</f>
        <v>2</v>
      </c>
      <c r="M32" t="str">
        <f t="shared" si="0"/>
        <v xml:space="preserve">高雄市三民區美都路  </v>
      </c>
      <c r="N32" t="str">
        <f t="shared" si="1"/>
        <v>高雄市</v>
      </c>
      <c r="O32">
        <f t="shared" si="2"/>
        <v>29800</v>
      </c>
      <c r="P32" t="str">
        <f>_xlfn.XLOOKUP(N32,區隔!$B$3:$B$20,區隔!C$3:C$20,0)</f>
        <v>南部</v>
      </c>
      <c r="Q32" t="str">
        <f>LOOKUP(C32,區隔!$F$3:$F$5,區隔!$E$3:$E$5)</f>
        <v>大坪數</v>
      </c>
      <c r="R32">
        <f t="shared" si="3"/>
        <v>30</v>
      </c>
    </row>
    <row r="33" spans="1:18" x14ac:dyDescent="0.3">
      <c r="A33" s="7" t="s">
        <v>940</v>
      </c>
      <c r="B33" t="s">
        <v>0</v>
      </c>
      <c r="C33">
        <v>44.91</v>
      </c>
      <c r="D33" t="s">
        <v>217</v>
      </c>
      <c r="E33" t="s">
        <v>29</v>
      </c>
      <c r="F33" t="s">
        <v>582</v>
      </c>
      <c r="G33" t="s">
        <v>168</v>
      </c>
      <c r="H33" t="str" cm="1">
        <f t="array" ref="H33:I33">_xlfn.TEXTSPLIT(SUBSTITUTE(D33,"樓",""),"/",,,0)</f>
        <v>3</v>
      </c>
      <c r="I33" t="str">
        <v>13</v>
      </c>
      <c r="J33" cm="1">
        <f t="array" ref="J33">GetNumByUnit(E33,"房")</f>
        <v>3</v>
      </c>
      <c r="K33" cm="1">
        <f t="array" ref="K33">GetNumByUnit(E33,"廳")</f>
        <v>2</v>
      </c>
      <c r="L33" cm="1">
        <f t="array" ref="L33">GetNumByUnit(E33,"衛")</f>
        <v>2</v>
      </c>
      <c r="M33" t="str">
        <f t="shared" si="0"/>
        <v xml:space="preserve">台中市南區仁義街  </v>
      </c>
      <c r="N33" t="str">
        <f t="shared" si="1"/>
        <v>台中市</v>
      </c>
      <c r="O33">
        <f t="shared" si="2"/>
        <v>33000</v>
      </c>
      <c r="P33" t="str">
        <f>_xlfn.XLOOKUP(N33,區隔!$B$3:$B$20,區隔!C$3:C$20,0)</f>
        <v>中部</v>
      </c>
      <c r="Q33" t="str">
        <f>LOOKUP(C33,區隔!$F$3:$F$5,區隔!$E$3:$E$5)</f>
        <v>大坪數</v>
      </c>
      <c r="R33">
        <f t="shared" si="3"/>
        <v>20</v>
      </c>
    </row>
    <row r="34" spans="1:18" x14ac:dyDescent="0.3">
      <c r="A34" s="7" t="s">
        <v>349</v>
      </c>
      <c r="B34" t="s">
        <v>0</v>
      </c>
      <c r="C34">
        <v>35.58</v>
      </c>
      <c r="D34" t="s">
        <v>53</v>
      </c>
      <c r="E34" t="s">
        <v>29</v>
      </c>
      <c r="F34" t="s">
        <v>350</v>
      </c>
      <c r="G34" t="s">
        <v>136</v>
      </c>
      <c r="H34" t="str" cm="1">
        <f t="array" ref="H34:I34">_xlfn.TEXTSPLIT(SUBSTITUTE(D34,"樓",""),"/",,,0)</f>
        <v>2</v>
      </c>
      <c r="I34" t="str">
        <v>5</v>
      </c>
      <c r="J34" cm="1">
        <f t="array" ref="J34">GetNumByUnit(E34,"房")</f>
        <v>3</v>
      </c>
      <c r="K34" cm="1">
        <f t="array" ref="K34">GetNumByUnit(E34,"廳")</f>
        <v>2</v>
      </c>
      <c r="L34" cm="1">
        <f t="array" ref="L34">GetNumByUnit(E34,"衛")</f>
        <v>2</v>
      </c>
      <c r="M34" t="str">
        <f t="shared" si="0"/>
        <v xml:space="preserve">台南市善化區東勢寮  </v>
      </c>
      <c r="N34" t="str">
        <f t="shared" si="1"/>
        <v>台南市</v>
      </c>
      <c r="O34">
        <f t="shared" si="2"/>
        <v>19000</v>
      </c>
      <c r="P34" t="str">
        <f>_xlfn.XLOOKUP(N34,區隔!$B$3:$B$20,區隔!C$3:C$20,0)</f>
        <v>南部</v>
      </c>
      <c r="Q34" t="str">
        <f>LOOKUP(C34,區隔!$F$3:$F$5,區隔!$E$3:$E$5)</f>
        <v>大坪數</v>
      </c>
      <c r="R34">
        <f t="shared" si="3"/>
        <v>10</v>
      </c>
    </row>
    <row r="35" spans="1:18" x14ac:dyDescent="0.3">
      <c r="A35" s="7" t="s">
        <v>941</v>
      </c>
      <c r="B35" t="s">
        <v>0</v>
      </c>
      <c r="C35">
        <v>36.270000000000003</v>
      </c>
      <c r="D35" t="s">
        <v>233</v>
      </c>
      <c r="E35" t="s">
        <v>27</v>
      </c>
      <c r="F35" t="s">
        <v>533</v>
      </c>
      <c r="G35" t="s">
        <v>273</v>
      </c>
      <c r="H35" t="str" cm="1">
        <f t="array" ref="H35:I35">_xlfn.TEXTSPLIT(SUBSTITUTE(D35,"樓",""),"/",,,0)</f>
        <v>6</v>
      </c>
      <c r="I35" t="str">
        <v>15</v>
      </c>
      <c r="J35" cm="1">
        <f t="array" ref="J35">GetNumByUnit(E35,"房")</f>
        <v>2</v>
      </c>
      <c r="K35" cm="1">
        <f t="array" ref="K35">GetNumByUnit(E35,"廳")</f>
        <v>2</v>
      </c>
      <c r="L35" cm="1">
        <f t="array" ref="L35">GetNumByUnit(E35,"衛")</f>
        <v>2</v>
      </c>
      <c r="M35" t="str">
        <f t="shared" si="0"/>
        <v xml:space="preserve">高雄市左營區文川路  </v>
      </c>
      <c r="N35" t="str">
        <f t="shared" si="1"/>
        <v>高雄市</v>
      </c>
      <c r="O35">
        <f t="shared" si="2"/>
        <v>26000</v>
      </c>
      <c r="P35" t="str">
        <f>_xlfn.XLOOKUP(N35,區隔!$B$3:$B$20,區隔!C$3:C$20,0)</f>
        <v>南部</v>
      </c>
      <c r="Q35" t="str">
        <f>LOOKUP(C35,區隔!$F$3:$F$5,區隔!$E$3:$E$5)</f>
        <v>大坪數</v>
      </c>
      <c r="R35">
        <f t="shared" si="3"/>
        <v>20</v>
      </c>
    </row>
    <row r="36" spans="1:18" x14ac:dyDescent="0.3">
      <c r="A36" s="7" t="s">
        <v>354</v>
      </c>
      <c r="B36" t="s">
        <v>0</v>
      </c>
      <c r="C36">
        <v>5.7</v>
      </c>
      <c r="D36" t="s">
        <v>108</v>
      </c>
      <c r="E36" t="s">
        <v>30</v>
      </c>
      <c r="F36" t="s">
        <v>355</v>
      </c>
      <c r="G36" t="s">
        <v>13</v>
      </c>
      <c r="H36" t="str" cm="1">
        <f t="array" ref="H36:I36">_xlfn.TEXTSPLIT(SUBSTITUTE(D36,"樓",""),"/",,,0)</f>
        <v>2</v>
      </c>
      <c r="I36" t="str">
        <v>4</v>
      </c>
      <c r="J36" cm="1">
        <f t="array" ref="J36">GetNumByUnit(E36,"房")</f>
        <v>1</v>
      </c>
      <c r="K36" cm="1">
        <f t="array" ref="K36">GetNumByUnit(E36,"廳")</f>
        <v>1</v>
      </c>
      <c r="L36" cm="1">
        <f t="array" ref="L36">GetNumByUnit(E36,"衛")</f>
        <v>1</v>
      </c>
      <c r="M36" t="str">
        <f t="shared" si="0"/>
        <v xml:space="preserve">台中市大雅區中和六路  </v>
      </c>
      <c r="N36" t="str">
        <f t="shared" si="1"/>
        <v>台中市</v>
      </c>
      <c r="O36">
        <f t="shared" si="2"/>
        <v>12000</v>
      </c>
      <c r="P36" t="str">
        <f>_xlfn.XLOOKUP(N36,區隔!$B$3:$B$20,區隔!C$3:C$20,0)</f>
        <v>中部</v>
      </c>
      <c r="Q36" t="str">
        <f>LOOKUP(C36,區隔!$F$3:$F$5,區隔!$E$3:$E$5)</f>
        <v>小坪數</v>
      </c>
      <c r="R36">
        <f t="shared" si="3"/>
        <v>10</v>
      </c>
    </row>
    <row r="37" spans="1:18" x14ac:dyDescent="0.3">
      <c r="A37" s="7" t="s">
        <v>356</v>
      </c>
      <c r="B37" t="s">
        <v>0</v>
      </c>
      <c r="C37">
        <v>5.7</v>
      </c>
      <c r="D37" t="s">
        <v>108</v>
      </c>
      <c r="E37" t="s">
        <v>30</v>
      </c>
      <c r="F37" t="s">
        <v>355</v>
      </c>
      <c r="G37" t="s">
        <v>13</v>
      </c>
      <c r="H37" t="str" cm="1">
        <f t="array" ref="H37:I37">_xlfn.TEXTSPLIT(SUBSTITUTE(D37,"樓",""),"/",,,0)</f>
        <v>2</v>
      </c>
      <c r="I37" t="str">
        <v>4</v>
      </c>
      <c r="J37" cm="1">
        <f t="array" ref="J37">GetNumByUnit(E37,"房")</f>
        <v>1</v>
      </c>
      <c r="K37" cm="1">
        <f t="array" ref="K37">GetNumByUnit(E37,"廳")</f>
        <v>1</v>
      </c>
      <c r="L37" cm="1">
        <f t="array" ref="L37">GetNumByUnit(E37,"衛")</f>
        <v>1</v>
      </c>
      <c r="M37" t="str">
        <f t="shared" si="0"/>
        <v xml:space="preserve">台中市大雅區中和六路  </v>
      </c>
      <c r="N37" t="str">
        <f t="shared" si="1"/>
        <v>台中市</v>
      </c>
      <c r="O37">
        <f t="shared" si="2"/>
        <v>12000</v>
      </c>
      <c r="P37" t="str">
        <f>_xlfn.XLOOKUP(N37,區隔!$B$3:$B$20,區隔!C$3:C$20,0)</f>
        <v>中部</v>
      </c>
      <c r="Q37" t="str">
        <f>LOOKUP(C37,區隔!$F$3:$F$5,區隔!$E$3:$E$5)</f>
        <v>小坪數</v>
      </c>
      <c r="R37">
        <f t="shared" si="3"/>
        <v>10</v>
      </c>
    </row>
    <row r="38" spans="1:18" x14ac:dyDescent="0.3">
      <c r="A38" s="7" t="s">
        <v>357</v>
      </c>
      <c r="B38" t="s">
        <v>0</v>
      </c>
      <c r="C38">
        <v>5.7</v>
      </c>
      <c r="D38" t="s">
        <v>108</v>
      </c>
      <c r="E38" t="s">
        <v>30</v>
      </c>
      <c r="F38" t="s">
        <v>355</v>
      </c>
      <c r="G38" t="s">
        <v>13</v>
      </c>
      <c r="H38" t="str" cm="1">
        <f t="array" ref="H38:I38">_xlfn.TEXTSPLIT(SUBSTITUTE(D38,"樓",""),"/",,,0)</f>
        <v>2</v>
      </c>
      <c r="I38" t="str">
        <v>4</v>
      </c>
      <c r="J38" cm="1">
        <f t="array" ref="J38">GetNumByUnit(E38,"房")</f>
        <v>1</v>
      </c>
      <c r="K38" cm="1">
        <f t="array" ref="K38">GetNumByUnit(E38,"廳")</f>
        <v>1</v>
      </c>
      <c r="L38" cm="1">
        <f t="array" ref="L38">GetNumByUnit(E38,"衛")</f>
        <v>1</v>
      </c>
      <c r="M38" t="str">
        <f t="shared" si="0"/>
        <v xml:space="preserve">台中市大雅區中和六路  </v>
      </c>
      <c r="N38" t="str">
        <f t="shared" si="1"/>
        <v>台中市</v>
      </c>
      <c r="O38">
        <f t="shared" si="2"/>
        <v>12000</v>
      </c>
      <c r="P38" t="str">
        <f>_xlfn.XLOOKUP(N38,區隔!$B$3:$B$20,區隔!C$3:C$20,0)</f>
        <v>中部</v>
      </c>
      <c r="Q38" t="str">
        <f>LOOKUP(C38,區隔!$F$3:$F$5,區隔!$E$3:$E$5)</f>
        <v>小坪數</v>
      </c>
      <c r="R38">
        <f t="shared" si="3"/>
        <v>10</v>
      </c>
    </row>
    <row r="39" spans="1:18" x14ac:dyDescent="0.3">
      <c r="A39" s="7" t="s">
        <v>358</v>
      </c>
      <c r="B39" t="s">
        <v>0</v>
      </c>
      <c r="C39">
        <v>5.7</v>
      </c>
      <c r="D39" t="s">
        <v>39</v>
      </c>
      <c r="E39" t="s">
        <v>30</v>
      </c>
      <c r="F39" t="s">
        <v>355</v>
      </c>
      <c r="G39" t="s">
        <v>13</v>
      </c>
      <c r="H39" t="str" cm="1">
        <f t="array" ref="H39:I39">_xlfn.TEXTSPLIT(SUBSTITUTE(D39,"樓",""),"/",,,0)</f>
        <v>4</v>
      </c>
      <c r="I39" t="str">
        <v>4</v>
      </c>
      <c r="J39" cm="1">
        <f t="array" ref="J39">GetNumByUnit(E39,"房")</f>
        <v>1</v>
      </c>
      <c r="K39" cm="1">
        <f t="array" ref="K39">GetNumByUnit(E39,"廳")</f>
        <v>1</v>
      </c>
      <c r="L39" cm="1">
        <f t="array" ref="L39">GetNumByUnit(E39,"衛")</f>
        <v>1</v>
      </c>
      <c r="M39" t="str">
        <f t="shared" si="0"/>
        <v xml:space="preserve">台中市大雅區中和六路  </v>
      </c>
      <c r="N39" t="str">
        <f t="shared" si="1"/>
        <v>台中市</v>
      </c>
      <c r="O39">
        <f t="shared" si="2"/>
        <v>12000</v>
      </c>
      <c r="P39" t="str">
        <f>_xlfn.XLOOKUP(N39,區隔!$B$3:$B$20,區隔!C$3:C$20,0)</f>
        <v>中部</v>
      </c>
      <c r="Q39" t="str">
        <f>LOOKUP(C39,區隔!$F$3:$F$5,區隔!$E$3:$E$5)</f>
        <v>小坪數</v>
      </c>
      <c r="R39">
        <f t="shared" si="3"/>
        <v>10</v>
      </c>
    </row>
    <row r="40" spans="1:18" x14ac:dyDescent="0.3">
      <c r="A40" s="7" t="s">
        <v>359</v>
      </c>
      <c r="B40" t="s">
        <v>0</v>
      </c>
      <c r="C40">
        <v>5.7</v>
      </c>
      <c r="D40" t="s">
        <v>39</v>
      </c>
      <c r="E40" t="s">
        <v>30</v>
      </c>
      <c r="F40" t="s">
        <v>355</v>
      </c>
      <c r="G40" t="s">
        <v>13</v>
      </c>
      <c r="H40" t="str" cm="1">
        <f t="array" ref="H40:I40">_xlfn.TEXTSPLIT(SUBSTITUTE(D40,"樓",""),"/",,,0)</f>
        <v>4</v>
      </c>
      <c r="I40" t="str">
        <v>4</v>
      </c>
      <c r="J40" cm="1">
        <f t="array" ref="J40">GetNumByUnit(E40,"房")</f>
        <v>1</v>
      </c>
      <c r="K40" cm="1">
        <f t="array" ref="K40">GetNumByUnit(E40,"廳")</f>
        <v>1</v>
      </c>
      <c r="L40" cm="1">
        <f t="array" ref="L40">GetNumByUnit(E40,"衛")</f>
        <v>1</v>
      </c>
      <c r="M40" t="str">
        <f t="shared" si="0"/>
        <v xml:space="preserve">台中市大雅區中和六路  </v>
      </c>
      <c r="N40" t="str">
        <f t="shared" si="1"/>
        <v>台中市</v>
      </c>
      <c r="O40">
        <f t="shared" si="2"/>
        <v>12000</v>
      </c>
      <c r="P40" t="str">
        <f>_xlfn.XLOOKUP(N40,區隔!$B$3:$B$20,區隔!C$3:C$20,0)</f>
        <v>中部</v>
      </c>
      <c r="Q40" t="str">
        <f>LOOKUP(C40,區隔!$F$3:$F$5,區隔!$E$3:$E$5)</f>
        <v>小坪數</v>
      </c>
      <c r="R40">
        <f t="shared" si="3"/>
        <v>10</v>
      </c>
    </row>
    <row r="41" spans="1:18" x14ac:dyDescent="0.3">
      <c r="A41" s="7" t="s">
        <v>942</v>
      </c>
      <c r="B41" t="s">
        <v>0</v>
      </c>
      <c r="C41">
        <v>46.18</v>
      </c>
      <c r="D41" t="s">
        <v>48</v>
      </c>
      <c r="E41" t="s">
        <v>35</v>
      </c>
      <c r="F41" t="s">
        <v>586</v>
      </c>
      <c r="G41" t="s">
        <v>115</v>
      </c>
      <c r="H41" t="str" cm="1">
        <f t="array" ref="H41:I41">_xlfn.TEXTSPLIT(SUBSTITUTE(D41,"樓",""),"/",,,0)</f>
        <v>4</v>
      </c>
      <c r="I41" t="str">
        <v>14</v>
      </c>
      <c r="J41" cm="1">
        <f t="array" ref="J41">GetNumByUnit(E41,"房")</f>
        <v>2</v>
      </c>
      <c r="K41" cm="1">
        <f t="array" ref="K41">GetNumByUnit(E41,"廳")</f>
        <v>2</v>
      </c>
      <c r="L41" cm="1">
        <f t="array" ref="L41">GetNumByUnit(E41,"衛")</f>
        <v>1</v>
      </c>
      <c r="M41" t="str">
        <f t="shared" si="0"/>
        <v xml:space="preserve">新竹縣竹北市興隆路五段  </v>
      </c>
      <c r="N41" t="str">
        <f t="shared" si="1"/>
        <v>新竹縣</v>
      </c>
      <c r="O41">
        <f t="shared" si="2"/>
        <v>30000</v>
      </c>
      <c r="P41" t="str">
        <f>_xlfn.XLOOKUP(N41,區隔!$B$3:$B$20,區隔!C$3:C$20,0)</f>
        <v>北部</v>
      </c>
      <c r="Q41" t="str">
        <f>LOOKUP(C41,區隔!$F$3:$F$5,區隔!$E$3:$E$5)</f>
        <v>大坪數</v>
      </c>
      <c r="R41">
        <f t="shared" si="3"/>
        <v>20</v>
      </c>
    </row>
    <row r="42" spans="1:18" x14ac:dyDescent="0.3">
      <c r="A42" s="7" t="s">
        <v>943</v>
      </c>
      <c r="B42" t="s">
        <v>0</v>
      </c>
      <c r="C42">
        <v>47.36</v>
      </c>
      <c r="D42" t="s">
        <v>131</v>
      </c>
      <c r="E42" t="s">
        <v>29</v>
      </c>
      <c r="F42" t="s">
        <v>518</v>
      </c>
      <c r="G42" t="s">
        <v>115</v>
      </c>
      <c r="H42" t="str" cm="1">
        <f t="array" ref="H42:I42">_xlfn.TEXTSPLIT(SUBSTITUTE(D42,"樓",""),"/",,,0)</f>
        <v>2</v>
      </c>
      <c r="I42" t="str">
        <v>12</v>
      </c>
      <c r="J42" cm="1">
        <f t="array" ref="J42">GetNumByUnit(E42,"房")</f>
        <v>3</v>
      </c>
      <c r="K42" cm="1">
        <f t="array" ref="K42">GetNumByUnit(E42,"廳")</f>
        <v>2</v>
      </c>
      <c r="L42" cm="1">
        <f t="array" ref="L42">GetNumByUnit(E42,"衛")</f>
        <v>2</v>
      </c>
      <c r="M42" t="str">
        <f t="shared" si="0"/>
        <v xml:space="preserve">新竹縣竹北市隘口六街  </v>
      </c>
      <c r="N42" t="str">
        <f t="shared" si="1"/>
        <v>新竹縣</v>
      </c>
      <c r="O42">
        <f t="shared" si="2"/>
        <v>30000</v>
      </c>
      <c r="P42" t="str">
        <f>_xlfn.XLOOKUP(N42,區隔!$B$3:$B$20,區隔!C$3:C$20,0)</f>
        <v>北部</v>
      </c>
      <c r="Q42" t="str">
        <f>LOOKUP(C42,區隔!$F$3:$F$5,區隔!$E$3:$E$5)</f>
        <v>大坪數</v>
      </c>
      <c r="R42">
        <f t="shared" si="3"/>
        <v>20</v>
      </c>
    </row>
    <row r="43" spans="1:18" x14ac:dyDescent="0.3">
      <c r="A43" s="7" t="s">
        <v>944</v>
      </c>
      <c r="B43" t="s">
        <v>0</v>
      </c>
      <c r="C43">
        <v>38.83</v>
      </c>
      <c r="D43" t="s">
        <v>76</v>
      </c>
      <c r="E43" t="s">
        <v>945</v>
      </c>
      <c r="F43" t="s">
        <v>423</v>
      </c>
      <c r="G43" t="s">
        <v>18</v>
      </c>
      <c r="H43" t="str" cm="1">
        <f t="array" ref="H43:I43">_xlfn.TEXTSPLIT(SUBSTITUTE(D43,"樓",""),"/",,,0)</f>
        <v>10</v>
      </c>
      <c r="I43" t="str">
        <v>15</v>
      </c>
      <c r="J43" cm="1">
        <f t="array" ref="J43">GetNumByUnit(E43,"房")</f>
        <v>1</v>
      </c>
      <c r="K43" cm="1">
        <f t="array" ref="K43">GetNumByUnit(E43,"廳")</f>
        <v>2</v>
      </c>
      <c r="L43" cm="1">
        <f t="array" ref="L43">GetNumByUnit(E43,"衛")</f>
        <v>2</v>
      </c>
      <c r="M43" t="str">
        <f t="shared" si="0"/>
        <v xml:space="preserve">高雄市前鎮區中華五路  </v>
      </c>
      <c r="N43" t="str">
        <f t="shared" si="1"/>
        <v>高雄市</v>
      </c>
      <c r="O43">
        <f t="shared" si="2"/>
        <v>25000</v>
      </c>
      <c r="P43" t="str">
        <f>_xlfn.XLOOKUP(N43,區隔!$B$3:$B$20,區隔!C$3:C$20,0)</f>
        <v>南部</v>
      </c>
      <c r="Q43" t="str">
        <f>LOOKUP(C43,區隔!$F$3:$F$5,區隔!$E$3:$E$5)</f>
        <v>大坪數</v>
      </c>
      <c r="R43">
        <f t="shared" si="3"/>
        <v>20</v>
      </c>
    </row>
    <row r="44" spans="1:18" x14ac:dyDescent="0.3">
      <c r="A44" s="7" t="s">
        <v>946</v>
      </c>
      <c r="B44" t="s">
        <v>0</v>
      </c>
      <c r="C44">
        <v>35.81</v>
      </c>
      <c r="D44" t="s">
        <v>34</v>
      </c>
      <c r="E44" t="s">
        <v>29</v>
      </c>
      <c r="F44" t="s">
        <v>947</v>
      </c>
      <c r="G44" t="s">
        <v>15</v>
      </c>
      <c r="H44" t="str" cm="1">
        <f t="array" ref="H44:I44">_xlfn.TEXTSPLIT(SUBSTITUTE(D44,"樓",""),"/",,,0)</f>
        <v>4</v>
      </c>
      <c r="I44" t="str">
        <v>5</v>
      </c>
      <c r="J44" cm="1">
        <f t="array" ref="J44">GetNumByUnit(E44,"房")</f>
        <v>3</v>
      </c>
      <c r="K44" cm="1">
        <f t="array" ref="K44">GetNumByUnit(E44,"廳")</f>
        <v>2</v>
      </c>
      <c r="L44" cm="1">
        <f t="array" ref="L44">GetNumByUnit(E44,"衛")</f>
        <v>2</v>
      </c>
      <c r="M44" t="str">
        <f t="shared" si="0"/>
        <v xml:space="preserve">桃園市龜山區文東五街  </v>
      </c>
      <c r="N44" t="str">
        <f t="shared" si="1"/>
        <v>桃園市</v>
      </c>
      <c r="O44">
        <f t="shared" si="2"/>
        <v>32000</v>
      </c>
      <c r="P44" t="str">
        <f>_xlfn.XLOOKUP(N44,區隔!$B$3:$B$20,區隔!C$3:C$20,0)</f>
        <v>北部</v>
      </c>
      <c r="Q44" t="str">
        <f>LOOKUP(C44,區隔!$F$3:$F$5,區隔!$E$3:$E$5)</f>
        <v>大坪數</v>
      </c>
      <c r="R44">
        <f t="shared" si="3"/>
        <v>10</v>
      </c>
    </row>
    <row r="45" spans="1:18" x14ac:dyDescent="0.3">
      <c r="A45" s="7" t="s">
        <v>948</v>
      </c>
      <c r="B45" t="s">
        <v>0</v>
      </c>
      <c r="C45">
        <v>9.8800000000000008</v>
      </c>
      <c r="D45" t="s">
        <v>37</v>
      </c>
      <c r="E45" t="s">
        <v>33</v>
      </c>
      <c r="F45" t="s">
        <v>949</v>
      </c>
      <c r="G45" t="s">
        <v>553</v>
      </c>
      <c r="H45" t="str" cm="1">
        <f t="array" ref="H45:I45">_xlfn.TEXTSPLIT(SUBSTITUTE(D45,"樓",""),"/",,,0)</f>
        <v>5</v>
      </c>
      <c r="I45" t="str">
        <v>5</v>
      </c>
      <c r="J45" cm="1">
        <f t="array" ref="J45">GetNumByUnit(E45,"房")</f>
        <v>1</v>
      </c>
      <c r="K45" t="str" cm="1">
        <f t="array" ref="K45">GetNumByUnit(E45,"廳")</f>
        <v/>
      </c>
      <c r="L45" cm="1">
        <f t="array" ref="L45">GetNumByUnit(E45,"衛")</f>
        <v>1</v>
      </c>
      <c r="M45" t="str">
        <f t="shared" si="0"/>
        <v xml:space="preserve">新北市淡水區學府路  </v>
      </c>
      <c r="N45" t="str">
        <f t="shared" si="1"/>
        <v>新北市</v>
      </c>
      <c r="O45">
        <f t="shared" si="2"/>
        <v>10500</v>
      </c>
      <c r="P45" t="str">
        <f>_xlfn.XLOOKUP(N45,區隔!$B$3:$B$20,區隔!C$3:C$20,0)</f>
        <v>北部</v>
      </c>
      <c r="Q45" t="str">
        <f>LOOKUP(C45,區隔!$F$3:$F$5,區隔!$E$3:$E$5)</f>
        <v>小坪數</v>
      </c>
      <c r="R45">
        <f t="shared" si="3"/>
        <v>10</v>
      </c>
    </row>
    <row r="46" spans="1:18" x14ac:dyDescent="0.3">
      <c r="A46" s="7" t="s">
        <v>361</v>
      </c>
      <c r="B46" t="s">
        <v>0</v>
      </c>
      <c r="C46">
        <v>32.21</v>
      </c>
      <c r="D46" t="s">
        <v>200</v>
      </c>
      <c r="E46" t="s">
        <v>29</v>
      </c>
      <c r="F46" t="s">
        <v>362</v>
      </c>
      <c r="G46" t="s">
        <v>116</v>
      </c>
      <c r="H46" t="str" cm="1">
        <f t="array" ref="H46:I46">_xlfn.TEXTSPLIT(SUBSTITUTE(D46,"樓",""),"/",,,0)</f>
        <v>9</v>
      </c>
      <c r="I46" t="str">
        <v>16</v>
      </c>
      <c r="J46" cm="1">
        <f t="array" ref="J46">GetNumByUnit(E46,"房")</f>
        <v>3</v>
      </c>
      <c r="K46" cm="1">
        <f t="array" ref="K46">GetNumByUnit(E46,"廳")</f>
        <v>2</v>
      </c>
      <c r="L46" cm="1">
        <f t="array" ref="L46">GetNumByUnit(E46,"衛")</f>
        <v>2</v>
      </c>
      <c r="M46" t="str">
        <f t="shared" si="0"/>
        <v xml:space="preserve"> 台中市西屯區西屯路二段  </v>
      </c>
      <c r="N46" t="str">
        <f t="shared" si="1"/>
        <v>台中市</v>
      </c>
      <c r="O46">
        <f t="shared" si="2"/>
        <v>23000</v>
      </c>
      <c r="P46" t="str">
        <f>_xlfn.XLOOKUP(N46,區隔!$B$3:$B$20,區隔!C$3:C$20,0)</f>
        <v>中部</v>
      </c>
      <c r="Q46" t="str">
        <f>LOOKUP(C46,區隔!$F$3:$F$5,區隔!$E$3:$E$5)</f>
        <v>大坪數</v>
      </c>
      <c r="R46">
        <f t="shared" si="3"/>
        <v>20</v>
      </c>
    </row>
    <row r="47" spans="1:18" x14ac:dyDescent="0.3">
      <c r="A47" s="7" t="s">
        <v>363</v>
      </c>
      <c r="B47" t="s">
        <v>0</v>
      </c>
      <c r="C47">
        <v>26.79</v>
      </c>
      <c r="D47" t="s">
        <v>364</v>
      </c>
      <c r="E47" t="s">
        <v>72</v>
      </c>
      <c r="F47" t="s">
        <v>365</v>
      </c>
      <c r="G47" t="s">
        <v>273</v>
      </c>
      <c r="H47" t="str" cm="1">
        <f t="array" ref="H47:I47">_xlfn.TEXTSPLIT(SUBSTITUTE(D47,"樓",""),"/",,,0)</f>
        <v>19</v>
      </c>
      <c r="I47" t="str">
        <v>22</v>
      </c>
      <c r="J47" cm="1">
        <f t="array" ref="J47">GetNumByUnit(E47,"房")</f>
        <v>2</v>
      </c>
      <c r="K47" cm="1">
        <f t="array" ref="K47">GetNumByUnit(E47,"廳")</f>
        <v>1</v>
      </c>
      <c r="L47" cm="1">
        <f t="array" ref="L47">GetNumByUnit(E47,"衛")</f>
        <v>1</v>
      </c>
      <c r="M47" t="str">
        <f t="shared" si="0"/>
        <v xml:space="preserve">台中市北屯區文心路四段  </v>
      </c>
      <c r="N47" t="str">
        <f t="shared" si="1"/>
        <v>台中市</v>
      </c>
      <c r="O47">
        <f t="shared" si="2"/>
        <v>26000</v>
      </c>
      <c r="P47" t="str">
        <f>_xlfn.XLOOKUP(N47,區隔!$B$3:$B$20,區隔!C$3:C$20,0)</f>
        <v>中部</v>
      </c>
      <c r="Q47" t="str">
        <f>LOOKUP(C47,區隔!$F$3:$F$5,區隔!$E$3:$E$5)</f>
        <v>中坪數</v>
      </c>
      <c r="R47">
        <f t="shared" si="3"/>
        <v>30</v>
      </c>
    </row>
    <row r="48" spans="1:18" x14ac:dyDescent="0.3">
      <c r="A48" s="7" t="s">
        <v>950</v>
      </c>
      <c r="B48" t="s">
        <v>0</v>
      </c>
      <c r="C48">
        <v>79.72</v>
      </c>
      <c r="D48" t="s">
        <v>230</v>
      </c>
      <c r="E48" t="s">
        <v>311</v>
      </c>
      <c r="F48" t="s">
        <v>951</v>
      </c>
      <c r="G48" t="s">
        <v>112</v>
      </c>
      <c r="H48" t="str" cm="1">
        <f t="array" ref="H48:I48">_xlfn.TEXTSPLIT(SUBSTITUTE(D48,"樓",""),"/",,,0)</f>
        <v>B1-4</v>
      </c>
      <c r="I48" t="str">
        <v>4</v>
      </c>
      <c r="J48" cm="1">
        <f t="array" ref="J48">GetNumByUnit(E48,"房")</f>
        <v>4</v>
      </c>
      <c r="K48" cm="1">
        <f t="array" ref="K48">GetNumByUnit(E48,"廳")</f>
        <v>3</v>
      </c>
      <c r="L48" cm="1">
        <f t="array" ref="L48">GetNumByUnit(E48,"衛")</f>
        <v>3</v>
      </c>
      <c r="M48" t="str">
        <f t="shared" si="0"/>
        <v xml:space="preserve">桃園市中壢區榮安七街  </v>
      </c>
      <c r="N48" t="str">
        <f t="shared" si="1"/>
        <v>桃園市</v>
      </c>
      <c r="O48">
        <f t="shared" si="2"/>
        <v>35000</v>
      </c>
      <c r="P48" t="str">
        <f>_xlfn.XLOOKUP(N48,區隔!$B$3:$B$20,區隔!C$3:C$20,0)</f>
        <v>北部</v>
      </c>
      <c r="Q48" t="str">
        <f>LOOKUP(C48,區隔!$F$3:$F$5,區隔!$E$3:$E$5)</f>
        <v>大坪數</v>
      </c>
      <c r="R48">
        <f t="shared" si="3"/>
        <v>10</v>
      </c>
    </row>
    <row r="49" spans="1:18" x14ac:dyDescent="0.3">
      <c r="A49" s="7" t="s">
        <v>952</v>
      </c>
      <c r="B49" t="s">
        <v>0</v>
      </c>
      <c r="C49">
        <v>23.66</v>
      </c>
      <c r="D49" t="s">
        <v>240</v>
      </c>
      <c r="E49" t="s">
        <v>72</v>
      </c>
      <c r="F49" t="s">
        <v>953</v>
      </c>
      <c r="G49" t="s">
        <v>18</v>
      </c>
      <c r="H49" t="str" cm="1">
        <f t="array" ref="H49:I49">_xlfn.TEXTSPLIT(SUBSTITUTE(D49,"樓",""),"/",,,0)</f>
        <v>3</v>
      </c>
      <c r="I49" t="str">
        <v>15</v>
      </c>
      <c r="J49" cm="1">
        <f t="array" ref="J49">GetNumByUnit(E49,"房")</f>
        <v>2</v>
      </c>
      <c r="K49" cm="1">
        <f t="array" ref="K49">GetNumByUnit(E49,"廳")</f>
        <v>1</v>
      </c>
      <c r="L49" cm="1">
        <f t="array" ref="L49">GetNumByUnit(E49,"衛")</f>
        <v>1</v>
      </c>
      <c r="M49" t="str">
        <f t="shared" si="0"/>
        <v xml:space="preserve">高雄市鳳山區福誠五街  </v>
      </c>
      <c r="N49" t="str">
        <f t="shared" si="1"/>
        <v>高雄市</v>
      </c>
      <c r="O49">
        <f t="shared" si="2"/>
        <v>25000</v>
      </c>
      <c r="P49" t="str">
        <f>_xlfn.XLOOKUP(N49,區隔!$B$3:$B$20,區隔!C$3:C$20,0)</f>
        <v>南部</v>
      </c>
      <c r="Q49" t="str">
        <f>LOOKUP(C49,區隔!$F$3:$F$5,區隔!$E$3:$E$5)</f>
        <v>中坪數</v>
      </c>
      <c r="R49">
        <f t="shared" si="3"/>
        <v>20</v>
      </c>
    </row>
    <row r="50" spans="1:18" x14ac:dyDescent="0.3">
      <c r="A50" s="7" t="s">
        <v>954</v>
      </c>
      <c r="B50" t="s">
        <v>0</v>
      </c>
      <c r="C50">
        <v>23.84</v>
      </c>
      <c r="D50" t="s">
        <v>223</v>
      </c>
      <c r="E50" t="s">
        <v>72</v>
      </c>
      <c r="F50" t="s">
        <v>953</v>
      </c>
      <c r="G50" t="s">
        <v>273</v>
      </c>
      <c r="H50" t="str" cm="1">
        <f t="array" ref="H50:I50">_xlfn.TEXTSPLIT(SUBSTITUTE(D50,"樓",""),"/",,,0)</f>
        <v>9</v>
      </c>
      <c r="I50" t="str">
        <v>15</v>
      </c>
      <c r="J50" cm="1">
        <f t="array" ref="J50">GetNumByUnit(E50,"房")</f>
        <v>2</v>
      </c>
      <c r="K50" cm="1">
        <f t="array" ref="K50">GetNumByUnit(E50,"廳")</f>
        <v>1</v>
      </c>
      <c r="L50" cm="1">
        <f t="array" ref="L50">GetNumByUnit(E50,"衛")</f>
        <v>1</v>
      </c>
      <c r="M50" t="str">
        <f t="shared" si="0"/>
        <v xml:space="preserve">高雄市鳳山區福誠五街  </v>
      </c>
      <c r="N50" t="str">
        <f t="shared" si="1"/>
        <v>高雄市</v>
      </c>
      <c r="O50">
        <f t="shared" si="2"/>
        <v>26000</v>
      </c>
      <c r="P50" t="str">
        <f>_xlfn.XLOOKUP(N50,區隔!$B$3:$B$20,區隔!C$3:C$20,0)</f>
        <v>南部</v>
      </c>
      <c r="Q50" t="str">
        <f>LOOKUP(C50,區隔!$F$3:$F$5,區隔!$E$3:$E$5)</f>
        <v>中坪數</v>
      </c>
      <c r="R50">
        <f t="shared" si="3"/>
        <v>20</v>
      </c>
    </row>
    <row r="51" spans="1:18" x14ac:dyDescent="0.3">
      <c r="A51" s="7" t="s">
        <v>366</v>
      </c>
      <c r="B51" t="s">
        <v>0</v>
      </c>
      <c r="C51">
        <v>52.66</v>
      </c>
      <c r="D51" t="s">
        <v>299</v>
      </c>
      <c r="E51" t="s">
        <v>27</v>
      </c>
      <c r="F51" t="s">
        <v>367</v>
      </c>
      <c r="G51" t="s">
        <v>54</v>
      </c>
      <c r="H51" t="str" cm="1">
        <f t="array" ref="H51:I51">_xlfn.TEXTSPLIT(SUBSTITUTE(D51,"樓",""),"/",,,0)</f>
        <v>15</v>
      </c>
      <c r="I51" t="str">
        <v>20</v>
      </c>
      <c r="J51" cm="1">
        <f t="array" ref="J51">GetNumByUnit(E51,"房")</f>
        <v>2</v>
      </c>
      <c r="K51" cm="1">
        <f t="array" ref="K51">GetNumByUnit(E51,"廳")</f>
        <v>2</v>
      </c>
      <c r="L51" cm="1">
        <f t="array" ref="L51">GetNumByUnit(E51,"衛")</f>
        <v>2</v>
      </c>
      <c r="M51" t="str">
        <f t="shared" si="0"/>
        <v xml:space="preserve">台南市東區中華東路三段  </v>
      </c>
      <c r="N51" t="str">
        <f t="shared" si="1"/>
        <v>台南市</v>
      </c>
      <c r="O51">
        <f t="shared" si="2"/>
        <v>28000</v>
      </c>
      <c r="P51" t="str">
        <f>_xlfn.XLOOKUP(N51,區隔!$B$3:$B$20,區隔!C$3:C$20,0)</f>
        <v>南部</v>
      </c>
      <c r="Q51" t="str">
        <f>LOOKUP(C51,區隔!$F$3:$F$5,區隔!$E$3:$E$5)</f>
        <v>大坪數</v>
      </c>
      <c r="R51">
        <f t="shared" si="3"/>
        <v>20</v>
      </c>
    </row>
    <row r="52" spans="1:18" x14ac:dyDescent="0.3">
      <c r="A52" s="7" t="s">
        <v>955</v>
      </c>
      <c r="B52" t="s">
        <v>0</v>
      </c>
      <c r="C52">
        <v>49.43</v>
      </c>
      <c r="D52" t="s">
        <v>28</v>
      </c>
      <c r="E52" t="s">
        <v>29</v>
      </c>
      <c r="F52" t="s">
        <v>390</v>
      </c>
      <c r="G52" t="s">
        <v>8</v>
      </c>
      <c r="H52" t="str" cm="1">
        <f t="array" ref="H52:I52">_xlfn.TEXTSPLIT(SUBSTITUTE(D52,"樓",""),"/",,,0)</f>
        <v>12</v>
      </c>
      <c r="I52" t="str">
        <v>15</v>
      </c>
      <c r="J52" cm="1">
        <f t="array" ref="J52">GetNumByUnit(E52,"房")</f>
        <v>3</v>
      </c>
      <c r="K52" cm="1">
        <f t="array" ref="K52">GetNumByUnit(E52,"廳")</f>
        <v>2</v>
      </c>
      <c r="L52" cm="1">
        <f t="array" ref="L52">GetNumByUnit(E52,"衛")</f>
        <v>2</v>
      </c>
      <c r="M52" t="str">
        <f t="shared" si="0"/>
        <v xml:space="preserve">新竹市新竹市新莊街  </v>
      </c>
      <c r="N52" t="str">
        <f t="shared" si="1"/>
        <v>新竹市</v>
      </c>
      <c r="O52">
        <f t="shared" si="2"/>
        <v>31000</v>
      </c>
      <c r="P52" t="str">
        <f>_xlfn.XLOOKUP(N52,區隔!$B$3:$B$20,區隔!C$3:C$20,0)</f>
        <v>北部</v>
      </c>
      <c r="Q52" t="str">
        <f>LOOKUP(C52,區隔!$F$3:$F$5,區隔!$E$3:$E$5)</f>
        <v>大坪數</v>
      </c>
      <c r="R52">
        <f t="shared" si="3"/>
        <v>20</v>
      </c>
    </row>
    <row r="53" spans="1:18" x14ac:dyDescent="0.3">
      <c r="A53" s="7" t="s">
        <v>956</v>
      </c>
      <c r="B53" t="s">
        <v>0</v>
      </c>
      <c r="C53">
        <v>21.31</v>
      </c>
      <c r="D53" t="s">
        <v>53</v>
      </c>
      <c r="E53" t="s">
        <v>29</v>
      </c>
      <c r="F53" t="s">
        <v>957</v>
      </c>
      <c r="G53" t="s">
        <v>52</v>
      </c>
      <c r="H53" t="str" cm="1">
        <f t="array" ref="H53:I53">_xlfn.TEXTSPLIT(SUBSTITUTE(D53,"樓",""),"/",,,0)</f>
        <v>2</v>
      </c>
      <c r="I53" t="str">
        <v>5</v>
      </c>
      <c r="J53" cm="1">
        <f t="array" ref="J53">GetNumByUnit(E53,"房")</f>
        <v>3</v>
      </c>
      <c r="K53" cm="1">
        <f t="array" ref="K53">GetNumByUnit(E53,"廳")</f>
        <v>2</v>
      </c>
      <c r="L53" cm="1">
        <f t="array" ref="L53">GetNumByUnit(E53,"衛")</f>
        <v>2</v>
      </c>
      <c r="M53" t="str">
        <f t="shared" si="0"/>
        <v xml:space="preserve">新北市新莊區天祥街  </v>
      </c>
      <c r="N53" t="str">
        <f t="shared" si="1"/>
        <v>新北市</v>
      </c>
      <c r="O53">
        <f t="shared" si="2"/>
        <v>24000</v>
      </c>
      <c r="P53" t="str">
        <f>_xlfn.XLOOKUP(N53,區隔!$B$3:$B$20,區隔!C$3:C$20,0)</f>
        <v>北部</v>
      </c>
      <c r="Q53" t="str">
        <f>LOOKUP(C53,區隔!$F$3:$F$5,區隔!$E$3:$E$5)</f>
        <v>中坪數</v>
      </c>
      <c r="R53">
        <f t="shared" si="3"/>
        <v>10</v>
      </c>
    </row>
    <row r="54" spans="1:18" x14ac:dyDescent="0.3">
      <c r="A54" s="7" t="s">
        <v>368</v>
      </c>
      <c r="B54" t="s">
        <v>0</v>
      </c>
      <c r="C54">
        <v>6</v>
      </c>
      <c r="D54" t="s">
        <v>34</v>
      </c>
      <c r="E54" t="s">
        <v>197</v>
      </c>
      <c r="F54" t="s">
        <v>369</v>
      </c>
      <c r="G54" t="s">
        <v>147</v>
      </c>
      <c r="H54" t="str" cm="1">
        <f t="array" ref="H54:I54">_xlfn.TEXTSPLIT(SUBSTITUTE(D54,"樓",""),"/",,,0)</f>
        <v>4</v>
      </c>
      <c r="I54" t="str">
        <v>5</v>
      </c>
      <c r="J54" cm="1">
        <f t="array" ref="J54">GetNumByUnit(E54,"房")</f>
        <v>1</v>
      </c>
      <c r="K54" t="str" cm="1">
        <f t="array" ref="K54">GetNumByUnit(E54,"廳")</f>
        <v/>
      </c>
      <c r="L54" t="str" cm="1">
        <f t="array" ref="L54">GetNumByUnit(E54,"衛")</f>
        <v/>
      </c>
      <c r="M54" t="str">
        <f t="shared" si="0"/>
        <v xml:space="preserve">高雄市三民區立忠路  </v>
      </c>
      <c r="N54" t="str">
        <f t="shared" si="1"/>
        <v>高雄市</v>
      </c>
      <c r="O54">
        <f t="shared" si="2"/>
        <v>6000</v>
      </c>
      <c r="P54" t="str">
        <f>_xlfn.XLOOKUP(N54,區隔!$B$3:$B$20,區隔!C$3:C$20,0)</f>
        <v>南部</v>
      </c>
      <c r="Q54" t="str">
        <f>LOOKUP(C54,區隔!$F$3:$F$5,區隔!$E$3:$E$5)</f>
        <v>小坪數</v>
      </c>
      <c r="R54">
        <f t="shared" si="3"/>
        <v>10</v>
      </c>
    </row>
    <row r="55" spans="1:18" x14ac:dyDescent="0.3">
      <c r="A55" s="7" t="s">
        <v>370</v>
      </c>
      <c r="B55" t="s">
        <v>0</v>
      </c>
      <c r="C55">
        <v>6</v>
      </c>
      <c r="D55" t="s">
        <v>34</v>
      </c>
      <c r="E55" t="s">
        <v>197</v>
      </c>
      <c r="F55" t="s">
        <v>369</v>
      </c>
      <c r="G55" t="s">
        <v>21</v>
      </c>
      <c r="H55" t="str" cm="1">
        <f t="array" ref="H55:I55">_xlfn.TEXTSPLIT(SUBSTITUTE(D55,"樓",""),"/",,,0)</f>
        <v>4</v>
      </c>
      <c r="I55" t="str">
        <v>5</v>
      </c>
      <c r="J55" cm="1">
        <f t="array" ref="J55">GetNumByUnit(E55,"房")</f>
        <v>1</v>
      </c>
      <c r="K55" t="str" cm="1">
        <f t="array" ref="K55">GetNumByUnit(E55,"廳")</f>
        <v/>
      </c>
      <c r="L55" t="str" cm="1">
        <f t="array" ref="L55">GetNumByUnit(E55,"衛")</f>
        <v/>
      </c>
      <c r="M55" t="str">
        <f t="shared" si="0"/>
        <v xml:space="preserve">高雄市三民區立忠路  </v>
      </c>
      <c r="N55" t="str">
        <f t="shared" si="1"/>
        <v>高雄市</v>
      </c>
      <c r="O55">
        <f t="shared" si="2"/>
        <v>7500</v>
      </c>
      <c r="P55" t="str">
        <f>_xlfn.XLOOKUP(N55,區隔!$B$3:$B$20,區隔!C$3:C$20,0)</f>
        <v>南部</v>
      </c>
      <c r="Q55" t="str">
        <f>LOOKUP(C55,區隔!$F$3:$F$5,區隔!$E$3:$E$5)</f>
        <v>小坪數</v>
      </c>
      <c r="R55">
        <f t="shared" si="3"/>
        <v>10</v>
      </c>
    </row>
    <row r="56" spans="1:18" x14ac:dyDescent="0.3">
      <c r="A56" s="7" t="s">
        <v>371</v>
      </c>
      <c r="B56" t="s">
        <v>0</v>
      </c>
      <c r="C56">
        <v>6</v>
      </c>
      <c r="D56" t="s">
        <v>34</v>
      </c>
      <c r="E56" t="s">
        <v>33</v>
      </c>
      <c r="F56" t="s">
        <v>369</v>
      </c>
      <c r="G56" t="s">
        <v>253</v>
      </c>
      <c r="H56" t="str" cm="1">
        <f t="array" ref="H56:I56">_xlfn.TEXTSPLIT(SUBSTITUTE(D56,"樓",""),"/",,,0)</f>
        <v>4</v>
      </c>
      <c r="I56" t="str">
        <v>5</v>
      </c>
      <c r="J56" cm="1">
        <f t="array" ref="J56">GetNumByUnit(E56,"房")</f>
        <v>1</v>
      </c>
      <c r="K56" t="str" cm="1">
        <f t="array" ref="K56">GetNumByUnit(E56,"廳")</f>
        <v/>
      </c>
      <c r="L56" cm="1">
        <f t="array" ref="L56">GetNumByUnit(E56,"衛")</f>
        <v>1</v>
      </c>
      <c r="M56" t="str">
        <f t="shared" si="0"/>
        <v xml:space="preserve">高雄市三民區立忠路  </v>
      </c>
      <c r="N56" t="str">
        <f t="shared" si="1"/>
        <v>高雄市</v>
      </c>
      <c r="O56">
        <f t="shared" si="2"/>
        <v>9500</v>
      </c>
      <c r="P56" t="str">
        <f>_xlfn.XLOOKUP(N56,區隔!$B$3:$B$20,區隔!C$3:C$20,0)</f>
        <v>南部</v>
      </c>
      <c r="Q56" t="str">
        <f>LOOKUP(C56,區隔!$F$3:$F$5,區隔!$E$3:$E$5)</f>
        <v>小坪數</v>
      </c>
      <c r="R56">
        <f t="shared" si="3"/>
        <v>10</v>
      </c>
    </row>
    <row r="57" spans="1:18" x14ac:dyDescent="0.3">
      <c r="A57" s="7" t="s">
        <v>372</v>
      </c>
      <c r="B57" t="s">
        <v>0</v>
      </c>
      <c r="C57">
        <v>6</v>
      </c>
      <c r="D57" t="s">
        <v>34</v>
      </c>
      <c r="E57" t="s">
        <v>33</v>
      </c>
      <c r="F57" t="s">
        <v>369</v>
      </c>
      <c r="G57" t="s">
        <v>120</v>
      </c>
      <c r="H57" t="str" cm="1">
        <f t="array" ref="H57:I57">_xlfn.TEXTSPLIT(SUBSTITUTE(D57,"樓",""),"/",,,0)</f>
        <v>4</v>
      </c>
      <c r="I57" t="str">
        <v>5</v>
      </c>
      <c r="J57" cm="1">
        <f t="array" ref="J57">GetNumByUnit(E57,"房")</f>
        <v>1</v>
      </c>
      <c r="K57" t="str" cm="1">
        <f t="array" ref="K57">GetNumByUnit(E57,"廳")</f>
        <v/>
      </c>
      <c r="L57" cm="1">
        <f t="array" ref="L57">GetNumByUnit(E57,"衛")</f>
        <v>1</v>
      </c>
      <c r="M57" t="str">
        <f t="shared" si="0"/>
        <v xml:space="preserve">高雄市三民區立忠路  </v>
      </c>
      <c r="N57" t="str">
        <f t="shared" si="1"/>
        <v>高雄市</v>
      </c>
      <c r="O57">
        <f t="shared" si="2"/>
        <v>8500</v>
      </c>
      <c r="P57" t="str">
        <f>_xlfn.XLOOKUP(N57,區隔!$B$3:$B$20,區隔!C$3:C$20,0)</f>
        <v>南部</v>
      </c>
      <c r="Q57" t="str">
        <f>LOOKUP(C57,區隔!$F$3:$F$5,區隔!$E$3:$E$5)</f>
        <v>小坪數</v>
      </c>
      <c r="R57">
        <f t="shared" si="3"/>
        <v>10</v>
      </c>
    </row>
    <row r="58" spans="1:18" x14ac:dyDescent="0.3">
      <c r="A58" s="7" t="s">
        <v>373</v>
      </c>
      <c r="B58" t="s">
        <v>0</v>
      </c>
      <c r="C58">
        <v>32.96</v>
      </c>
      <c r="D58" t="s">
        <v>314</v>
      </c>
      <c r="E58" t="s">
        <v>72</v>
      </c>
      <c r="F58" t="s">
        <v>374</v>
      </c>
      <c r="G58" t="s">
        <v>68</v>
      </c>
      <c r="H58" t="str" cm="1">
        <f t="array" ref="H58:I58">_xlfn.TEXTSPLIT(SUBSTITUTE(D58,"樓",""),"/",,,0)</f>
        <v>21</v>
      </c>
      <c r="I58" t="str">
        <v>23</v>
      </c>
      <c r="J58" cm="1">
        <f t="array" ref="J58">GetNumByUnit(E58,"房")</f>
        <v>2</v>
      </c>
      <c r="K58" cm="1">
        <f t="array" ref="K58">GetNumByUnit(E58,"廳")</f>
        <v>1</v>
      </c>
      <c r="L58" cm="1">
        <f t="array" ref="L58">GetNumByUnit(E58,"衛")</f>
        <v>1</v>
      </c>
      <c r="M58" t="str">
        <f t="shared" si="0"/>
        <v xml:space="preserve">新北市新莊區中央路  </v>
      </c>
      <c r="N58" t="str">
        <f t="shared" si="1"/>
        <v>新北市</v>
      </c>
      <c r="O58">
        <f t="shared" si="2"/>
        <v>43000</v>
      </c>
      <c r="P58" t="str">
        <f>_xlfn.XLOOKUP(N58,區隔!$B$3:$B$20,區隔!C$3:C$20,0)</f>
        <v>北部</v>
      </c>
      <c r="Q58" t="str">
        <f>LOOKUP(C58,區隔!$F$3:$F$5,區隔!$E$3:$E$5)</f>
        <v>大坪數</v>
      </c>
      <c r="R58">
        <f t="shared" si="3"/>
        <v>30</v>
      </c>
    </row>
    <row r="59" spans="1:18" x14ac:dyDescent="0.3">
      <c r="A59" s="7" t="s">
        <v>958</v>
      </c>
      <c r="B59" t="s">
        <v>0</v>
      </c>
      <c r="C59">
        <v>9.08</v>
      </c>
      <c r="D59" t="s">
        <v>375</v>
      </c>
      <c r="E59" t="s">
        <v>30</v>
      </c>
      <c r="F59" t="s">
        <v>376</v>
      </c>
      <c r="G59" t="s">
        <v>234</v>
      </c>
      <c r="H59" t="str" cm="1">
        <f t="array" ref="H59:I59">_xlfn.TEXTSPLIT(SUBSTITUTE(D59,"樓",""),"/",,,0)</f>
        <v>18</v>
      </c>
      <c r="I59" t="str">
        <v>21</v>
      </c>
      <c r="J59" cm="1">
        <f t="array" ref="J59">GetNumByUnit(E59,"房")</f>
        <v>1</v>
      </c>
      <c r="K59" cm="1">
        <f t="array" ref="K59">GetNumByUnit(E59,"廳")</f>
        <v>1</v>
      </c>
      <c r="L59" cm="1">
        <f t="array" ref="L59">GetNumByUnit(E59,"衛")</f>
        <v>1</v>
      </c>
      <c r="M59" t="str">
        <f t="shared" si="0"/>
        <v xml:space="preserve">台中市北區忠太東路  </v>
      </c>
      <c r="N59" t="str">
        <f t="shared" si="1"/>
        <v>台中市</v>
      </c>
      <c r="O59">
        <f t="shared" si="2"/>
        <v>11000</v>
      </c>
      <c r="P59" t="str">
        <f>_xlfn.XLOOKUP(N59,區隔!$B$3:$B$20,區隔!C$3:C$20,0)</f>
        <v>中部</v>
      </c>
      <c r="Q59" t="str">
        <f>LOOKUP(C59,區隔!$F$3:$F$5,區隔!$E$3:$E$5)</f>
        <v>小坪數</v>
      </c>
      <c r="R59">
        <f t="shared" si="3"/>
        <v>30</v>
      </c>
    </row>
    <row r="60" spans="1:18" x14ac:dyDescent="0.3">
      <c r="A60" s="7" t="s">
        <v>959</v>
      </c>
      <c r="B60" t="s">
        <v>0</v>
      </c>
      <c r="C60">
        <v>47.77</v>
      </c>
      <c r="D60" t="s">
        <v>485</v>
      </c>
      <c r="E60" t="s">
        <v>29</v>
      </c>
      <c r="F60" t="s">
        <v>565</v>
      </c>
      <c r="G60" t="s">
        <v>14</v>
      </c>
      <c r="H60" t="str" cm="1">
        <f t="array" ref="H60:I60">_xlfn.TEXTSPLIT(SUBSTITUTE(D60,"樓",""),"/",,,0)</f>
        <v>21</v>
      </c>
      <c r="I60" t="str">
        <v>27</v>
      </c>
      <c r="J60" cm="1">
        <f t="array" ref="J60">GetNumByUnit(E60,"房")</f>
        <v>3</v>
      </c>
      <c r="K60" cm="1">
        <f t="array" ref="K60">GetNumByUnit(E60,"廳")</f>
        <v>2</v>
      </c>
      <c r="L60" cm="1">
        <f t="array" ref="L60">GetNumByUnit(E60,"衛")</f>
        <v>2</v>
      </c>
      <c r="M60" t="str">
        <f t="shared" si="0"/>
        <v xml:space="preserve">台中市西屯區環中路三段  </v>
      </c>
      <c r="N60" t="str">
        <f t="shared" si="1"/>
        <v>台中市</v>
      </c>
      <c r="O60">
        <f t="shared" si="2"/>
        <v>40000</v>
      </c>
      <c r="P60" t="str">
        <f>_xlfn.XLOOKUP(N60,區隔!$B$3:$B$20,區隔!C$3:C$20,0)</f>
        <v>中部</v>
      </c>
      <c r="Q60" t="str">
        <f>LOOKUP(C60,區隔!$F$3:$F$5,區隔!$E$3:$E$5)</f>
        <v>大坪數</v>
      </c>
      <c r="R60">
        <f t="shared" si="3"/>
        <v>30</v>
      </c>
    </row>
    <row r="61" spans="1:18" x14ac:dyDescent="0.3">
      <c r="A61" s="7" t="s">
        <v>379</v>
      </c>
      <c r="B61" t="s">
        <v>0</v>
      </c>
      <c r="C61">
        <v>15.66</v>
      </c>
      <c r="D61" t="s">
        <v>66</v>
      </c>
      <c r="E61" t="s">
        <v>30</v>
      </c>
      <c r="F61" t="s">
        <v>378</v>
      </c>
      <c r="G61" t="s">
        <v>380</v>
      </c>
      <c r="H61" t="str" cm="1">
        <f t="array" ref="H61:I61">_xlfn.TEXTSPLIT(SUBSTITUTE(D61,"樓",""),"/",,,0)</f>
        <v>6</v>
      </c>
      <c r="I61" t="str">
        <v>8</v>
      </c>
      <c r="J61" cm="1">
        <f t="array" ref="J61">GetNumByUnit(E61,"房")</f>
        <v>1</v>
      </c>
      <c r="K61" cm="1">
        <f t="array" ref="K61">GetNumByUnit(E61,"廳")</f>
        <v>1</v>
      </c>
      <c r="L61" cm="1">
        <f t="array" ref="L61">GetNumByUnit(E61,"衛")</f>
        <v>1</v>
      </c>
      <c r="M61" t="str">
        <f t="shared" si="0"/>
        <v xml:space="preserve">新北市淡水區淡金路  </v>
      </c>
      <c r="N61" t="str">
        <f t="shared" si="1"/>
        <v>新北市</v>
      </c>
      <c r="O61">
        <f t="shared" si="2"/>
        <v>17500</v>
      </c>
      <c r="P61" t="str">
        <f>_xlfn.XLOOKUP(N61,區隔!$B$3:$B$20,區隔!C$3:C$20,0)</f>
        <v>北部</v>
      </c>
      <c r="Q61" t="str">
        <f>LOOKUP(C61,區隔!$F$3:$F$5,區隔!$E$3:$E$5)</f>
        <v>中坪數</v>
      </c>
      <c r="R61">
        <f t="shared" si="3"/>
        <v>10</v>
      </c>
    </row>
    <row r="62" spans="1:18" x14ac:dyDescent="0.3">
      <c r="A62" s="7" t="s">
        <v>960</v>
      </c>
      <c r="B62" t="s">
        <v>0</v>
      </c>
      <c r="C62">
        <v>51.87</v>
      </c>
      <c r="D62" t="s">
        <v>248</v>
      </c>
      <c r="E62" t="s">
        <v>29</v>
      </c>
      <c r="F62" t="s">
        <v>599</v>
      </c>
      <c r="G62" t="s">
        <v>331</v>
      </c>
      <c r="H62" t="str" cm="1">
        <f t="array" ref="H62:I62">_xlfn.TEXTSPLIT(SUBSTITUTE(D62,"樓",""),"/",,,0)</f>
        <v>14</v>
      </c>
      <c r="I62" t="str">
        <v>15</v>
      </c>
      <c r="J62" cm="1">
        <f t="array" ref="J62">GetNumByUnit(E62,"房")</f>
        <v>3</v>
      </c>
      <c r="K62" cm="1">
        <f t="array" ref="K62">GetNumByUnit(E62,"廳")</f>
        <v>2</v>
      </c>
      <c r="L62" cm="1">
        <f t="array" ref="L62">GetNumByUnit(E62,"衛")</f>
        <v>2</v>
      </c>
      <c r="M62" t="str">
        <f t="shared" si="0"/>
        <v xml:space="preserve">新北市淡水區淡金路一段  </v>
      </c>
      <c r="N62" t="str">
        <f t="shared" si="1"/>
        <v>新北市</v>
      </c>
      <c r="O62">
        <f t="shared" si="2"/>
        <v>28500</v>
      </c>
      <c r="P62" t="str">
        <f>_xlfn.XLOOKUP(N62,區隔!$B$3:$B$20,區隔!C$3:C$20,0)</f>
        <v>北部</v>
      </c>
      <c r="Q62" t="str">
        <f>LOOKUP(C62,區隔!$F$3:$F$5,區隔!$E$3:$E$5)</f>
        <v>大坪數</v>
      </c>
      <c r="R62">
        <f t="shared" si="3"/>
        <v>20</v>
      </c>
    </row>
    <row r="63" spans="1:18" x14ac:dyDescent="0.3">
      <c r="A63" s="7" t="s">
        <v>961</v>
      </c>
      <c r="B63" t="s">
        <v>0</v>
      </c>
      <c r="C63">
        <v>15.16</v>
      </c>
      <c r="D63" t="s">
        <v>173</v>
      </c>
      <c r="E63" t="s">
        <v>47</v>
      </c>
      <c r="F63" t="s">
        <v>962</v>
      </c>
      <c r="G63" t="s">
        <v>191</v>
      </c>
      <c r="H63" t="str" cm="1">
        <f t="array" ref="H63:I63">_xlfn.TEXTSPLIT(SUBSTITUTE(D63,"樓",""),"/",,,0)</f>
        <v>3</v>
      </c>
      <c r="I63" t="str">
        <v>4</v>
      </c>
      <c r="J63" cm="1">
        <f t="array" ref="J63">GetNumByUnit(E63,"房")</f>
        <v>1</v>
      </c>
      <c r="K63" cm="1">
        <f t="array" ref="K63">GetNumByUnit(E63,"廳")</f>
        <v>2</v>
      </c>
      <c r="L63" cm="1">
        <f t="array" ref="L63">GetNumByUnit(E63,"衛")</f>
        <v>1</v>
      </c>
      <c r="M63" t="str">
        <f t="shared" si="0"/>
        <v xml:space="preserve">新北市淡水區三民街  </v>
      </c>
      <c r="N63" t="str">
        <f t="shared" si="1"/>
        <v>新北市</v>
      </c>
      <c r="O63">
        <f t="shared" si="2"/>
        <v>13000</v>
      </c>
      <c r="P63" t="str">
        <f>_xlfn.XLOOKUP(N63,區隔!$B$3:$B$20,區隔!C$3:C$20,0)</f>
        <v>北部</v>
      </c>
      <c r="Q63" t="str">
        <f>LOOKUP(C63,區隔!$F$3:$F$5,區隔!$E$3:$E$5)</f>
        <v>中坪數</v>
      </c>
      <c r="R63">
        <f t="shared" si="3"/>
        <v>10</v>
      </c>
    </row>
    <row r="64" spans="1:18" x14ac:dyDescent="0.3">
      <c r="A64" s="7" t="s">
        <v>963</v>
      </c>
      <c r="B64" t="s">
        <v>0</v>
      </c>
      <c r="C64">
        <v>46.92</v>
      </c>
      <c r="D64" t="s">
        <v>161</v>
      </c>
      <c r="E64" t="s">
        <v>40</v>
      </c>
      <c r="F64" t="s">
        <v>964</v>
      </c>
      <c r="G64" t="s">
        <v>604</v>
      </c>
      <c r="H64" t="str" cm="1">
        <f t="array" ref="H64:I64">_xlfn.TEXTSPLIT(SUBSTITUTE(D64,"樓",""),"/",,,0)</f>
        <v>4</v>
      </c>
      <c r="I64" t="str">
        <v>6</v>
      </c>
      <c r="J64" cm="1">
        <f t="array" ref="J64">GetNumByUnit(E64,"房")</f>
        <v>4</v>
      </c>
      <c r="K64" cm="1">
        <f t="array" ref="K64">GetNumByUnit(E64,"廳")</f>
        <v>2</v>
      </c>
      <c r="L64" cm="1">
        <f t="array" ref="L64">GetNumByUnit(E64,"衛")</f>
        <v>2</v>
      </c>
      <c r="M64" t="str">
        <f t="shared" si="0"/>
        <v xml:space="preserve">台北市北投區珠海路  </v>
      </c>
      <c r="N64" t="str">
        <f t="shared" si="1"/>
        <v>台北市</v>
      </c>
      <c r="O64">
        <f t="shared" si="2"/>
        <v>36500</v>
      </c>
      <c r="P64" t="str">
        <f>_xlfn.XLOOKUP(N64,區隔!$B$3:$B$20,區隔!C$3:C$20,0)</f>
        <v>北部</v>
      </c>
      <c r="Q64" t="str">
        <f>LOOKUP(C64,區隔!$F$3:$F$5,區隔!$E$3:$E$5)</f>
        <v>大坪數</v>
      </c>
      <c r="R64">
        <f t="shared" si="3"/>
        <v>10</v>
      </c>
    </row>
    <row r="65" spans="1:18" x14ac:dyDescent="0.3">
      <c r="A65" s="7" t="s">
        <v>965</v>
      </c>
      <c r="B65" t="s">
        <v>0</v>
      </c>
      <c r="C65">
        <v>25.39</v>
      </c>
      <c r="D65" t="s">
        <v>108</v>
      </c>
      <c r="E65" t="s">
        <v>238</v>
      </c>
      <c r="F65" t="s">
        <v>966</v>
      </c>
      <c r="G65" t="s">
        <v>18</v>
      </c>
      <c r="H65" t="str" cm="1">
        <f t="array" ref="H65:I65">_xlfn.TEXTSPLIT(SUBSTITUTE(D65,"樓",""),"/",,,0)</f>
        <v>2</v>
      </c>
      <c r="I65" t="str">
        <v>4</v>
      </c>
      <c r="J65" cm="1">
        <f t="array" ref="J65">GetNumByUnit(E65,"房")</f>
        <v>3</v>
      </c>
      <c r="K65" cm="1">
        <f t="array" ref="K65">GetNumByUnit(E65,"廳")</f>
        <v>2</v>
      </c>
      <c r="L65" cm="1">
        <f t="array" ref="L65">GetNumByUnit(E65,"衛")</f>
        <v>1</v>
      </c>
      <c r="M65" t="str">
        <f t="shared" si="0"/>
        <v xml:space="preserve">新北市板橋區田單街  </v>
      </c>
      <c r="N65" t="str">
        <f t="shared" si="1"/>
        <v>新北市</v>
      </c>
      <c r="O65">
        <f t="shared" si="2"/>
        <v>25000</v>
      </c>
      <c r="P65" t="str">
        <f>_xlfn.XLOOKUP(N65,區隔!$B$3:$B$20,區隔!C$3:C$20,0)</f>
        <v>北部</v>
      </c>
      <c r="Q65" t="str">
        <f>LOOKUP(C65,區隔!$F$3:$F$5,區隔!$E$3:$E$5)</f>
        <v>中坪數</v>
      </c>
      <c r="R65">
        <f t="shared" si="3"/>
        <v>10</v>
      </c>
    </row>
    <row r="66" spans="1:18" x14ac:dyDescent="0.3">
      <c r="A66" s="7" t="s">
        <v>967</v>
      </c>
      <c r="B66" t="s">
        <v>0</v>
      </c>
      <c r="C66">
        <v>36.090000000000003</v>
      </c>
      <c r="D66" t="s">
        <v>277</v>
      </c>
      <c r="E66" t="s">
        <v>35</v>
      </c>
      <c r="F66" t="s">
        <v>968</v>
      </c>
      <c r="G66" t="s">
        <v>99</v>
      </c>
      <c r="H66" t="str" cm="1">
        <f t="array" ref="H66:I66">_xlfn.TEXTSPLIT(SUBSTITUTE(D66,"樓",""),"/",,,0)</f>
        <v>18</v>
      </c>
      <c r="I66" t="str">
        <v>22</v>
      </c>
      <c r="J66" cm="1">
        <f t="array" ref="J66">GetNumByUnit(E66,"房")</f>
        <v>2</v>
      </c>
      <c r="K66" cm="1">
        <f t="array" ref="K66">GetNumByUnit(E66,"廳")</f>
        <v>2</v>
      </c>
      <c r="L66" cm="1">
        <f t="array" ref="L66">GetNumByUnit(E66,"衛")</f>
        <v>1</v>
      </c>
      <c r="M66" t="str">
        <f t="shared" si="0"/>
        <v xml:space="preserve">新北市三重區信義西街  </v>
      </c>
      <c r="N66" t="str">
        <f t="shared" si="1"/>
        <v>新北市</v>
      </c>
      <c r="O66">
        <f t="shared" si="2"/>
        <v>39000</v>
      </c>
      <c r="P66" t="str">
        <f>_xlfn.XLOOKUP(N66,區隔!$B$3:$B$20,區隔!C$3:C$20,0)</f>
        <v>北部</v>
      </c>
      <c r="Q66" t="str">
        <f>LOOKUP(C66,區隔!$F$3:$F$5,區隔!$E$3:$E$5)</f>
        <v>大坪數</v>
      </c>
      <c r="R66">
        <f t="shared" si="3"/>
        <v>30</v>
      </c>
    </row>
    <row r="67" spans="1:18" x14ac:dyDescent="0.3">
      <c r="A67" s="7" t="s">
        <v>969</v>
      </c>
      <c r="B67" t="s">
        <v>0</v>
      </c>
      <c r="C67">
        <v>45.56</v>
      </c>
      <c r="D67" t="s">
        <v>182</v>
      </c>
      <c r="E67" t="s">
        <v>29</v>
      </c>
      <c r="F67" t="s">
        <v>589</v>
      </c>
      <c r="G67" t="s">
        <v>12</v>
      </c>
      <c r="H67" t="str" cm="1">
        <f t="array" ref="H67:I67">_xlfn.TEXTSPLIT(SUBSTITUTE(D67,"樓",""),"/",,,0)</f>
        <v>6</v>
      </c>
      <c r="I67" t="str">
        <v>13</v>
      </c>
      <c r="J67" cm="1">
        <f t="array" ref="J67">GetNumByUnit(E67,"房")</f>
        <v>3</v>
      </c>
      <c r="K67" cm="1">
        <f t="array" ref="K67">GetNumByUnit(E67,"廳")</f>
        <v>2</v>
      </c>
      <c r="L67" cm="1">
        <f t="array" ref="L67">GetNumByUnit(E67,"衛")</f>
        <v>2</v>
      </c>
      <c r="M67" t="str">
        <f t="shared" ref="M67:M130" si="4">IFERROR(_xlfn.TEXTAFTER(F67,"/",LEN(F67)-LEN(SUBSTITUTE(F67,"/",""))),F67)</f>
        <v xml:space="preserve">台中市梧棲區文明街  </v>
      </c>
      <c r="N67" t="str">
        <f t="shared" ref="N67:N130" si="5">TRIM(LEFT(M67,MIN(IFERROR(SEARCH("縣",M67),999),IFERROR(SEARCH("市",M67),999))))</f>
        <v>台中市</v>
      </c>
      <c r="O67">
        <f t="shared" ref="O67:O130" si="6">VALUE(SUBSTITUTE(SUBSTITUTE(G67,",", ""),"元/月",""))</f>
        <v>22000</v>
      </c>
      <c r="P67" t="str">
        <f>_xlfn.XLOOKUP(N67,區隔!$B$3:$B$20,區隔!C$3:C$20,0)</f>
        <v>中部</v>
      </c>
      <c r="Q67" t="str">
        <f>LOOKUP(C67,區隔!$F$3:$F$5,區隔!$E$3:$E$5)</f>
        <v>大坪數</v>
      </c>
      <c r="R67">
        <f t="shared" ref="R67:R130" si="7">_xlfn.XLOOKUP(CEILING(I67,10),_xlfn.SEQUENCE(100,,10,10),_xlfn.SEQUENCE(100,,10,10))</f>
        <v>20</v>
      </c>
    </row>
    <row r="68" spans="1:18" x14ac:dyDescent="0.3">
      <c r="A68" s="7" t="s">
        <v>970</v>
      </c>
      <c r="B68" t="s">
        <v>0</v>
      </c>
      <c r="C68">
        <v>22.42</v>
      </c>
      <c r="D68" t="s">
        <v>971</v>
      </c>
      <c r="E68" t="s">
        <v>30</v>
      </c>
      <c r="F68" t="s">
        <v>438</v>
      </c>
      <c r="G68" t="s">
        <v>12</v>
      </c>
      <c r="H68" t="str" cm="1">
        <f t="array" ref="H68:I68">_xlfn.TEXTSPLIT(SUBSTITUTE(D68,"樓",""),"/",,,0)</f>
        <v>12</v>
      </c>
      <c r="I68" t="str">
        <v>22</v>
      </c>
      <c r="J68" cm="1">
        <f t="array" ref="J68">GetNumByUnit(E68,"房")</f>
        <v>1</v>
      </c>
      <c r="K68" cm="1">
        <f t="array" ref="K68">GetNumByUnit(E68,"廳")</f>
        <v>1</v>
      </c>
      <c r="L68" cm="1">
        <f t="array" ref="L68">GetNumByUnit(E68,"衛")</f>
        <v>1</v>
      </c>
      <c r="M68" t="str">
        <f t="shared" si="4"/>
        <v xml:space="preserve">台中市西屯區國安一路  </v>
      </c>
      <c r="N68" t="str">
        <f t="shared" si="5"/>
        <v>台中市</v>
      </c>
      <c r="O68">
        <f t="shared" si="6"/>
        <v>22000</v>
      </c>
      <c r="P68" t="str">
        <f>_xlfn.XLOOKUP(N68,區隔!$B$3:$B$20,區隔!C$3:C$20,0)</f>
        <v>中部</v>
      </c>
      <c r="Q68" t="str">
        <f>LOOKUP(C68,區隔!$F$3:$F$5,區隔!$E$3:$E$5)</f>
        <v>中坪數</v>
      </c>
      <c r="R68">
        <f t="shared" si="7"/>
        <v>30</v>
      </c>
    </row>
    <row r="69" spans="1:18" x14ac:dyDescent="0.3">
      <c r="A69" s="7" t="s">
        <v>972</v>
      </c>
      <c r="B69" t="s">
        <v>0</v>
      </c>
      <c r="C69">
        <v>38.340000000000003</v>
      </c>
      <c r="D69" t="s">
        <v>437</v>
      </c>
      <c r="E69" t="s">
        <v>35</v>
      </c>
      <c r="F69" t="s">
        <v>569</v>
      </c>
      <c r="G69" t="s">
        <v>50</v>
      </c>
      <c r="H69" t="str" cm="1">
        <f t="array" ref="H69:I69">_xlfn.TEXTSPLIT(SUBSTITUTE(D69,"樓",""),"/",,,0)</f>
        <v>16</v>
      </c>
      <c r="I69" t="str">
        <v>28</v>
      </c>
      <c r="J69" cm="1">
        <f t="array" ref="J69">GetNumByUnit(E69,"房")</f>
        <v>2</v>
      </c>
      <c r="K69" cm="1">
        <f t="array" ref="K69">GetNumByUnit(E69,"廳")</f>
        <v>2</v>
      </c>
      <c r="L69" cm="1">
        <f t="array" ref="L69">GetNumByUnit(E69,"衛")</f>
        <v>1</v>
      </c>
      <c r="M69" t="str">
        <f t="shared" si="4"/>
        <v xml:space="preserve">台中市東區進德路  </v>
      </c>
      <c r="N69" t="str">
        <f t="shared" si="5"/>
        <v>台中市</v>
      </c>
      <c r="O69">
        <f t="shared" si="6"/>
        <v>27000</v>
      </c>
      <c r="P69" t="str">
        <f>_xlfn.XLOOKUP(N69,區隔!$B$3:$B$20,區隔!C$3:C$20,0)</f>
        <v>中部</v>
      </c>
      <c r="Q69" t="str">
        <f>LOOKUP(C69,區隔!$F$3:$F$5,區隔!$E$3:$E$5)</f>
        <v>大坪數</v>
      </c>
      <c r="R69">
        <f t="shared" si="7"/>
        <v>30</v>
      </c>
    </row>
    <row r="70" spans="1:18" x14ac:dyDescent="0.3">
      <c r="A70" s="7" t="s">
        <v>382</v>
      </c>
      <c r="B70" t="s">
        <v>0</v>
      </c>
      <c r="C70">
        <v>24.28</v>
      </c>
      <c r="D70" t="s">
        <v>70</v>
      </c>
      <c r="E70" t="s">
        <v>72</v>
      </c>
      <c r="F70" t="s">
        <v>383</v>
      </c>
      <c r="G70" t="s">
        <v>198</v>
      </c>
      <c r="H70" t="str" cm="1">
        <f t="array" ref="H70:I70">_xlfn.TEXTSPLIT(SUBSTITUTE(D70,"樓",""),"/",,,0)</f>
        <v>12</v>
      </c>
      <c r="I70" t="str">
        <v>14</v>
      </c>
      <c r="J70" cm="1">
        <f t="array" ref="J70">GetNumByUnit(E70,"房")</f>
        <v>2</v>
      </c>
      <c r="K70" cm="1">
        <f t="array" ref="K70">GetNumByUnit(E70,"廳")</f>
        <v>1</v>
      </c>
      <c r="L70" cm="1">
        <f t="array" ref="L70">GetNumByUnit(E70,"衛")</f>
        <v>1</v>
      </c>
      <c r="M70" t="str">
        <f t="shared" si="4"/>
        <v xml:space="preserve">台中市北屯區遼寧路一段  </v>
      </c>
      <c r="N70" t="str">
        <f t="shared" si="5"/>
        <v>台中市</v>
      </c>
      <c r="O70">
        <f t="shared" si="6"/>
        <v>21000</v>
      </c>
      <c r="P70" t="str">
        <f>_xlfn.XLOOKUP(N70,區隔!$B$3:$B$20,區隔!C$3:C$20,0)</f>
        <v>中部</v>
      </c>
      <c r="Q70" t="str">
        <f>LOOKUP(C70,區隔!$F$3:$F$5,區隔!$E$3:$E$5)</f>
        <v>中坪數</v>
      </c>
      <c r="R70">
        <f t="shared" si="7"/>
        <v>20</v>
      </c>
    </row>
    <row r="71" spans="1:18" x14ac:dyDescent="0.3">
      <c r="A71" s="7" t="s">
        <v>973</v>
      </c>
      <c r="B71" t="s">
        <v>0</v>
      </c>
      <c r="C71">
        <v>42.9</v>
      </c>
      <c r="D71" t="s">
        <v>413</v>
      </c>
      <c r="E71" t="s">
        <v>29</v>
      </c>
      <c r="F71" t="s">
        <v>526</v>
      </c>
      <c r="G71" t="s">
        <v>273</v>
      </c>
      <c r="H71" t="str" cm="1">
        <f t="array" ref="H71:I71">_xlfn.TEXTSPLIT(SUBSTITUTE(D71,"樓",""),"/",,,0)</f>
        <v>18</v>
      </c>
      <c r="I71" t="str">
        <v>24</v>
      </c>
      <c r="J71" cm="1">
        <f t="array" ref="J71">GetNumByUnit(E71,"房")</f>
        <v>3</v>
      </c>
      <c r="K71" cm="1">
        <f t="array" ref="K71">GetNumByUnit(E71,"廳")</f>
        <v>2</v>
      </c>
      <c r="L71" cm="1">
        <f t="array" ref="L71">GetNumByUnit(E71,"衛")</f>
        <v>2</v>
      </c>
      <c r="M71" t="str">
        <f t="shared" si="4"/>
        <v xml:space="preserve">桃園市龜山區文禾路  </v>
      </c>
      <c r="N71" t="str">
        <f t="shared" si="5"/>
        <v>桃園市</v>
      </c>
      <c r="O71">
        <f t="shared" si="6"/>
        <v>26000</v>
      </c>
      <c r="P71" t="str">
        <f>_xlfn.XLOOKUP(N71,區隔!$B$3:$B$20,區隔!C$3:C$20,0)</f>
        <v>北部</v>
      </c>
      <c r="Q71" t="str">
        <f>LOOKUP(C71,區隔!$F$3:$F$5,區隔!$E$3:$E$5)</f>
        <v>大坪數</v>
      </c>
      <c r="R71">
        <f t="shared" si="7"/>
        <v>30</v>
      </c>
    </row>
    <row r="72" spans="1:18" x14ac:dyDescent="0.3">
      <c r="A72" s="7" t="s">
        <v>974</v>
      </c>
      <c r="B72" t="s">
        <v>0</v>
      </c>
      <c r="C72">
        <v>12.1</v>
      </c>
      <c r="D72" t="s">
        <v>268</v>
      </c>
      <c r="E72" t="s">
        <v>30</v>
      </c>
      <c r="F72" t="s">
        <v>975</v>
      </c>
      <c r="G72" t="s">
        <v>185</v>
      </c>
      <c r="H72" t="str" cm="1">
        <f t="array" ref="H72:I72">_xlfn.TEXTSPLIT(SUBSTITUTE(D72,"樓",""),"/",,,0)</f>
        <v>2</v>
      </c>
      <c r="I72" t="str">
        <v>2</v>
      </c>
      <c r="J72" cm="1">
        <f t="array" ref="J72">GetNumByUnit(E72,"房")</f>
        <v>1</v>
      </c>
      <c r="K72" cm="1">
        <f t="array" ref="K72">GetNumByUnit(E72,"廳")</f>
        <v>1</v>
      </c>
      <c r="L72" cm="1">
        <f t="array" ref="L72">GetNumByUnit(E72,"衛")</f>
        <v>1</v>
      </c>
      <c r="M72" t="str">
        <f t="shared" si="4"/>
        <v xml:space="preserve">台北市萬華區東園街  </v>
      </c>
      <c r="N72" t="str">
        <f t="shared" si="5"/>
        <v>台北市</v>
      </c>
      <c r="O72">
        <f t="shared" si="6"/>
        <v>20000</v>
      </c>
      <c r="P72" t="str">
        <f>_xlfn.XLOOKUP(N72,區隔!$B$3:$B$20,區隔!C$3:C$20,0)</f>
        <v>北部</v>
      </c>
      <c r="Q72" t="str">
        <f>LOOKUP(C72,區隔!$F$3:$F$5,區隔!$E$3:$E$5)</f>
        <v>小坪數</v>
      </c>
      <c r="R72">
        <f t="shared" si="7"/>
        <v>10</v>
      </c>
    </row>
    <row r="73" spans="1:18" x14ac:dyDescent="0.3">
      <c r="A73" s="7" t="s">
        <v>976</v>
      </c>
      <c r="B73" t="s">
        <v>0</v>
      </c>
      <c r="C73">
        <v>21.75</v>
      </c>
      <c r="D73" t="s">
        <v>252</v>
      </c>
      <c r="E73" t="s">
        <v>90</v>
      </c>
      <c r="F73" t="s">
        <v>977</v>
      </c>
      <c r="G73" t="s">
        <v>9</v>
      </c>
      <c r="H73" t="str" cm="1">
        <f t="array" ref="H73:I73">_xlfn.TEXTSPLIT(SUBSTITUTE(D73,"樓",""),"/",,,0)</f>
        <v>5</v>
      </c>
      <c r="I73" t="str">
        <v>14</v>
      </c>
      <c r="J73" cm="1">
        <f t="array" ref="J73">GetNumByUnit(E73,"房")</f>
        <v>2</v>
      </c>
      <c r="K73" cm="1">
        <f t="array" ref="K73">GetNumByUnit(E73,"廳")</f>
        <v>1</v>
      </c>
      <c r="L73" cm="1">
        <f t="array" ref="L73">GetNumByUnit(E73,"衛")</f>
        <v>1</v>
      </c>
      <c r="M73" t="str">
        <f t="shared" si="4"/>
        <v xml:space="preserve">台北市萬華區成都路  </v>
      </c>
      <c r="N73" t="str">
        <f t="shared" si="5"/>
        <v>台北市</v>
      </c>
      <c r="O73">
        <f t="shared" si="6"/>
        <v>37800</v>
      </c>
      <c r="P73" t="str">
        <f>_xlfn.XLOOKUP(N73,區隔!$B$3:$B$20,區隔!C$3:C$20,0)</f>
        <v>北部</v>
      </c>
      <c r="Q73" t="str">
        <f>LOOKUP(C73,區隔!$F$3:$F$5,區隔!$E$3:$E$5)</f>
        <v>中坪數</v>
      </c>
      <c r="R73">
        <f t="shared" si="7"/>
        <v>20</v>
      </c>
    </row>
    <row r="74" spans="1:18" x14ac:dyDescent="0.3">
      <c r="A74" s="7" t="s">
        <v>978</v>
      </c>
      <c r="B74" t="s">
        <v>0</v>
      </c>
      <c r="C74">
        <v>34.340000000000003</v>
      </c>
      <c r="D74" t="s">
        <v>979</v>
      </c>
      <c r="E74" t="s">
        <v>35</v>
      </c>
      <c r="F74" t="s">
        <v>353</v>
      </c>
      <c r="G74" t="s">
        <v>54</v>
      </c>
      <c r="H74" t="str" cm="1">
        <f t="array" ref="H74:I74">_xlfn.TEXTSPLIT(SUBSTITUTE(D74,"樓",""),"/",,,0)</f>
        <v>17</v>
      </c>
      <c r="I74" t="str">
        <v>18</v>
      </c>
      <c r="J74" cm="1">
        <f t="array" ref="J74">GetNumByUnit(E74,"房")</f>
        <v>2</v>
      </c>
      <c r="K74" cm="1">
        <f t="array" ref="K74">GetNumByUnit(E74,"廳")</f>
        <v>2</v>
      </c>
      <c r="L74" cm="1">
        <f t="array" ref="L74">GetNumByUnit(E74,"衛")</f>
        <v>1</v>
      </c>
      <c r="M74" t="str">
        <f t="shared" si="4"/>
        <v xml:space="preserve">台中市北區學士路  </v>
      </c>
      <c r="N74" t="str">
        <f t="shared" si="5"/>
        <v>台中市</v>
      </c>
      <c r="O74">
        <f t="shared" si="6"/>
        <v>28000</v>
      </c>
      <c r="P74" t="str">
        <f>_xlfn.XLOOKUP(N74,區隔!$B$3:$B$20,區隔!C$3:C$20,0)</f>
        <v>中部</v>
      </c>
      <c r="Q74" t="str">
        <f>LOOKUP(C74,區隔!$F$3:$F$5,區隔!$E$3:$E$5)</f>
        <v>大坪數</v>
      </c>
      <c r="R74">
        <f t="shared" si="7"/>
        <v>20</v>
      </c>
    </row>
    <row r="75" spans="1:18" x14ac:dyDescent="0.3">
      <c r="A75" s="7" t="s">
        <v>980</v>
      </c>
      <c r="B75" t="s">
        <v>0</v>
      </c>
      <c r="C75">
        <v>47.05</v>
      </c>
      <c r="D75" t="s">
        <v>278</v>
      </c>
      <c r="E75" t="s">
        <v>29</v>
      </c>
      <c r="F75" t="s">
        <v>351</v>
      </c>
      <c r="G75" t="s">
        <v>158</v>
      </c>
      <c r="H75" t="str" cm="1">
        <f t="array" ref="H75:I75">_xlfn.TEXTSPLIT(SUBSTITUTE(D75,"樓",""),"/",,,0)</f>
        <v>8</v>
      </c>
      <c r="I75" t="str">
        <v>22</v>
      </c>
      <c r="J75" cm="1">
        <f t="array" ref="J75">GetNumByUnit(E75,"房")</f>
        <v>3</v>
      </c>
      <c r="K75" cm="1">
        <f t="array" ref="K75">GetNumByUnit(E75,"廳")</f>
        <v>2</v>
      </c>
      <c r="L75" cm="1">
        <f t="array" ref="L75">GetNumByUnit(E75,"衛")</f>
        <v>2</v>
      </c>
      <c r="M75" t="str">
        <f t="shared" si="4"/>
        <v xml:space="preserve">台中市北區育樂街  </v>
      </c>
      <c r="N75" t="str">
        <f t="shared" si="5"/>
        <v>台中市</v>
      </c>
      <c r="O75">
        <f t="shared" si="6"/>
        <v>42000</v>
      </c>
      <c r="P75" t="str">
        <f>_xlfn.XLOOKUP(N75,區隔!$B$3:$B$20,區隔!C$3:C$20,0)</f>
        <v>中部</v>
      </c>
      <c r="Q75" t="str">
        <f>LOOKUP(C75,區隔!$F$3:$F$5,區隔!$E$3:$E$5)</f>
        <v>大坪數</v>
      </c>
      <c r="R75">
        <f t="shared" si="7"/>
        <v>30</v>
      </c>
    </row>
    <row r="76" spans="1:18" x14ac:dyDescent="0.3">
      <c r="A76" s="7" t="s">
        <v>981</v>
      </c>
      <c r="B76" t="s">
        <v>0</v>
      </c>
      <c r="C76">
        <v>38.229999999999997</v>
      </c>
      <c r="D76" t="s">
        <v>108</v>
      </c>
      <c r="E76" t="s">
        <v>29</v>
      </c>
      <c r="F76" t="s">
        <v>694</v>
      </c>
      <c r="G76" t="s">
        <v>14</v>
      </c>
      <c r="H76" t="str" cm="1">
        <f t="array" ref="H76:I76">_xlfn.TEXTSPLIT(SUBSTITUTE(D76,"樓",""),"/",,,0)</f>
        <v>2</v>
      </c>
      <c r="I76" t="str">
        <v>4</v>
      </c>
      <c r="J76" cm="1">
        <f t="array" ref="J76">GetNumByUnit(E76,"房")</f>
        <v>3</v>
      </c>
      <c r="K76" cm="1">
        <f t="array" ref="K76">GetNumByUnit(E76,"廳")</f>
        <v>2</v>
      </c>
      <c r="L76" cm="1">
        <f t="array" ref="L76">GetNumByUnit(E76,"衛")</f>
        <v>2</v>
      </c>
      <c r="M76" t="str">
        <f t="shared" si="4"/>
        <v xml:space="preserve">台北市松山區八德路四段  </v>
      </c>
      <c r="N76" t="str">
        <f t="shared" si="5"/>
        <v>台北市</v>
      </c>
      <c r="O76">
        <f t="shared" si="6"/>
        <v>40000</v>
      </c>
      <c r="P76" t="str">
        <f>_xlfn.XLOOKUP(N76,區隔!$B$3:$B$20,區隔!C$3:C$20,0)</f>
        <v>北部</v>
      </c>
      <c r="Q76" t="str">
        <f>LOOKUP(C76,區隔!$F$3:$F$5,區隔!$E$3:$E$5)</f>
        <v>大坪數</v>
      </c>
      <c r="R76">
        <f t="shared" si="7"/>
        <v>10</v>
      </c>
    </row>
    <row r="77" spans="1:18" x14ac:dyDescent="0.3">
      <c r="A77" s="7" t="s">
        <v>982</v>
      </c>
      <c r="B77" t="s">
        <v>0</v>
      </c>
      <c r="C77">
        <v>26.58</v>
      </c>
      <c r="D77" t="s">
        <v>53</v>
      </c>
      <c r="E77" t="s">
        <v>29</v>
      </c>
      <c r="F77" t="s">
        <v>377</v>
      </c>
      <c r="G77" t="s">
        <v>12</v>
      </c>
      <c r="H77" t="str" cm="1">
        <f t="array" ref="H77:I77">_xlfn.TEXTSPLIT(SUBSTITUTE(D77,"樓",""),"/",,,0)</f>
        <v>2</v>
      </c>
      <c r="I77" t="str">
        <v>5</v>
      </c>
      <c r="J77" cm="1">
        <f t="array" ref="J77">GetNumByUnit(E77,"房")</f>
        <v>3</v>
      </c>
      <c r="K77" cm="1">
        <f t="array" ref="K77">GetNumByUnit(E77,"廳")</f>
        <v>2</v>
      </c>
      <c r="L77" cm="1">
        <f t="array" ref="L77">GetNumByUnit(E77,"衛")</f>
        <v>2</v>
      </c>
      <c r="M77" t="str">
        <f t="shared" si="4"/>
        <v xml:space="preserve">台中市北屯區中清路二段  </v>
      </c>
      <c r="N77" t="str">
        <f t="shared" si="5"/>
        <v>台中市</v>
      </c>
      <c r="O77">
        <f t="shared" si="6"/>
        <v>22000</v>
      </c>
      <c r="P77" t="str">
        <f>_xlfn.XLOOKUP(N77,區隔!$B$3:$B$20,區隔!C$3:C$20,0)</f>
        <v>中部</v>
      </c>
      <c r="Q77" t="str">
        <f>LOOKUP(C77,區隔!$F$3:$F$5,區隔!$E$3:$E$5)</f>
        <v>中坪數</v>
      </c>
      <c r="R77">
        <f t="shared" si="7"/>
        <v>10</v>
      </c>
    </row>
    <row r="78" spans="1:18" x14ac:dyDescent="0.3">
      <c r="A78" s="7" t="s">
        <v>983</v>
      </c>
      <c r="B78" t="s">
        <v>0</v>
      </c>
      <c r="C78">
        <v>38.39</v>
      </c>
      <c r="D78" t="s">
        <v>135</v>
      </c>
      <c r="E78" t="s">
        <v>606</v>
      </c>
      <c r="F78" t="s">
        <v>470</v>
      </c>
      <c r="G78" t="s">
        <v>168</v>
      </c>
      <c r="H78" t="str" cm="1">
        <f t="array" ref="H78:I78">_xlfn.TEXTSPLIT(SUBSTITUTE(D78,"樓",""),"/",,,0)</f>
        <v>1-2</v>
      </c>
      <c r="I78" t="str">
        <v>2</v>
      </c>
      <c r="J78" cm="1">
        <f t="array" ref="J78">GetNumByUnit(E78,"房")</f>
        <v>5</v>
      </c>
      <c r="K78" cm="1">
        <f t="array" ref="K78">GetNumByUnit(E78,"廳")</f>
        <v>2</v>
      </c>
      <c r="L78" cm="1">
        <f t="array" ref="L78">GetNumByUnit(E78,"衛")</f>
        <v>2</v>
      </c>
      <c r="M78" t="str">
        <f t="shared" si="4"/>
        <v xml:space="preserve">台中市北屯區后庄北路  </v>
      </c>
      <c r="N78" t="str">
        <f t="shared" si="5"/>
        <v>台中市</v>
      </c>
      <c r="O78">
        <f t="shared" si="6"/>
        <v>33000</v>
      </c>
      <c r="P78" t="str">
        <f>_xlfn.XLOOKUP(N78,區隔!$B$3:$B$20,區隔!C$3:C$20,0)</f>
        <v>中部</v>
      </c>
      <c r="Q78" t="str">
        <f>LOOKUP(C78,區隔!$F$3:$F$5,區隔!$E$3:$E$5)</f>
        <v>大坪數</v>
      </c>
      <c r="R78">
        <f t="shared" si="7"/>
        <v>10</v>
      </c>
    </row>
    <row r="79" spans="1:18" x14ac:dyDescent="0.3">
      <c r="A79" s="7" t="s">
        <v>984</v>
      </c>
      <c r="B79" t="s">
        <v>0</v>
      </c>
      <c r="C79">
        <v>33.89</v>
      </c>
      <c r="D79" t="s">
        <v>37</v>
      </c>
      <c r="E79" t="s">
        <v>985</v>
      </c>
      <c r="F79" t="s">
        <v>986</v>
      </c>
      <c r="G79" t="s">
        <v>516</v>
      </c>
      <c r="H79" t="str" cm="1">
        <f t="array" ref="H79:I79">_xlfn.TEXTSPLIT(SUBSTITUTE(D79,"樓",""),"/",,,0)</f>
        <v>5</v>
      </c>
      <c r="I79" t="str">
        <v>5</v>
      </c>
      <c r="J79" cm="1">
        <f t="array" ref="J79">GetNumByUnit(E79,"房")</f>
        <v>4</v>
      </c>
      <c r="K79" cm="1">
        <f t="array" ref="K79">GetNumByUnit(E79,"廳")</f>
        <v>2</v>
      </c>
      <c r="L79" cm="1">
        <f t="array" ref="L79">GetNumByUnit(E79,"衛")</f>
        <v>2</v>
      </c>
      <c r="M79" t="str">
        <f t="shared" si="4"/>
        <v xml:space="preserve">台中市西區博館路  </v>
      </c>
      <c r="N79" t="str">
        <f t="shared" si="5"/>
        <v>台中市</v>
      </c>
      <c r="O79">
        <f t="shared" si="6"/>
        <v>25800</v>
      </c>
      <c r="P79" t="str">
        <f>_xlfn.XLOOKUP(N79,區隔!$B$3:$B$20,區隔!C$3:C$20,0)</f>
        <v>中部</v>
      </c>
      <c r="Q79" t="str">
        <f>LOOKUP(C79,區隔!$F$3:$F$5,區隔!$E$3:$E$5)</f>
        <v>大坪數</v>
      </c>
      <c r="R79">
        <f t="shared" si="7"/>
        <v>10</v>
      </c>
    </row>
    <row r="80" spans="1:18" x14ac:dyDescent="0.3">
      <c r="A80" s="7" t="s">
        <v>987</v>
      </c>
      <c r="B80" t="s">
        <v>0</v>
      </c>
      <c r="C80">
        <v>32.5</v>
      </c>
      <c r="D80" t="s">
        <v>88</v>
      </c>
      <c r="E80" t="s">
        <v>606</v>
      </c>
      <c r="F80" t="s">
        <v>573</v>
      </c>
      <c r="G80" t="s">
        <v>115</v>
      </c>
      <c r="H80" t="str" cm="1">
        <f t="array" ref="H80:I80">_xlfn.TEXTSPLIT(SUBSTITUTE(D80,"樓",""),"/",,,0)</f>
        <v>6</v>
      </c>
      <c r="I80" t="str">
        <v>12</v>
      </c>
      <c r="J80" cm="1">
        <f t="array" ref="J80">GetNumByUnit(E80,"房")</f>
        <v>5</v>
      </c>
      <c r="K80" cm="1">
        <f t="array" ref="K80">GetNumByUnit(E80,"廳")</f>
        <v>2</v>
      </c>
      <c r="L80" cm="1">
        <f t="array" ref="L80">GetNumByUnit(E80,"衛")</f>
        <v>2</v>
      </c>
      <c r="M80" t="str">
        <f t="shared" si="4"/>
        <v xml:space="preserve">台中市南區學府路  </v>
      </c>
      <c r="N80" t="str">
        <f t="shared" si="5"/>
        <v>台中市</v>
      </c>
      <c r="O80">
        <f t="shared" si="6"/>
        <v>30000</v>
      </c>
      <c r="P80" t="str">
        <f>_xlfn.XLOOKUP(N80,區隔!$B$3:$B$20,區隔!C$3:C$20,0)</f>
        <v>中部</v>
      </c>
      <c r="Q80" t="str">
        <f>LOOKUP(C80,區隔!$F$3:$F$5,區隔!$E$3:$E$5)</f>
        <v>大坪數</v>
      </c>
      <c r="R80">
        <f t="shared" si="7"/>
        <v>20</v>
      </c>
    </row>
    <row r="81" spans="1:18" x14ac:dyDescent="0.3">
      <c r="A81" s="7" t="s">
        <v>988</v>
      </c>
      <c r="B81" t="s">
        <v>0</v>
      </c>
      <c r="C81">
        <v>48.14</v>
      </c>
      <c r="D81" t="s">
        <v>117</v>
      </c>
      <c r="E81" t="s">
        <v>40</v>
      </c>
      <c r="F81" t="s">
        <v>989</v>
      </c>
      <c r="G81" t="s">
        <v>116</v>
      </c>
      <c r="H81" t="str" cm="1">
        <f t="array" ref="H81:I81">_xlfn.TEXTSPLIT(SUBSTITUTE(D81,"樓",""),"/",,,0)</f>
        <v>3</v>
      </c>
      <c r="I81" t="str">
        <v>7</v>
      </c>
      <c r="J81" cm="1">
        <f t="array" ref="J81">GetNumByUnit(E81,"房")</f>
        <v>4</v>
      </c>
      <c r="K81" cm="1">
        <f t="array" ref="K81">GetNumByUnit(E81,"廳")</f>
        <v>2</v>
      </c>
      <c r="L81" cm="1">
        <f t="array" ref="L81">GetNumByUnit(E81,"衛")</f>
        <v>2</v>
      </c>
      <c r="M81" t="str">
        <f t="shared" si="4"/>
        <v xml:space="preserve">台中市大里區向學一路  </v>
      </c>
      <c r="N81" t="str">
        <f t="shared" si="5"/>
        <v>台中市</v>
      </c>
      <c r="O81">
        <f t="shared" si="6"/>
        <v>23000</v>
      </c>
      <c r="P81" t="str">
        <f>_xlfn.XLOOKUP(N81,區隔!$B$3:$B$20,區隔!C$3:C$20,0)</f>
        <v>中部</v>
      </c>
      <c r="Q81" t="str">
        <f>LOOKUP(C81,區隔!$F$3:$F$5,區隔!$E$3:$E$5)</f>
        <v>大坪數</v>
      </c>
      <c r="R81">
        <f t="shared" si="7"/>
        <v>10</v>
      </c>
    </row>
    <row r="82" spans="1:18" x14ac:dyDescent="0.3">
      <c r="A82" s="7" t="s">
        <v>990</v>
      </c>
      <c r="B82" t="s">
        <v>0</v>
      </c>
      <c r="C82">
        <v>55.43</v>
      </c>
      <c r="D82" t="s">
        <v>235</v>
      </c>
      <c r="E82" t="s">
        <v>29</v>
      </c>
      <c r="F82" t="s">
        <v>991</v>
      </c>
      <c r="G82" t="s">
        <v>112</v>
      </c>
      <c r="H82" t="str" cm="1">
        <f t="array" ref="H82:I82">_xlfn.TEXTSPLIT(SUBSTITUTE(D82,"樓",""),"/",,,0)</f>
        <v>2</v>
      </c>
      <c r="I82" t="str">
        <v>15</v>
      </c>
      <c r="J82" cm="1">
        <f t="array" ref="J82">GetNumByUnit(E82,"房")</f>
        <v>3</v>
      </c>
      <c r="K82" cm="1">
        <f t="array" ref="K82">GetNumByUnit(E82,"廳")</f>
        <v>2</v>
      </c>
      <c r="L82" cm="1">
        <f t="array" ref="L82">GetNumByUnit(E82,"衛")</f>
        <v>2</v>
      </c>
      <c r="M82" t="str">
        <f t="shared" si="4"/>
        <v xml:space="preserve"> 台中市北屯區南興路  </v>
      </c>
      <c r="N82" t="str">
        <f t="shared" si="5"/>
        <v>台中市</v>
      </c>
      <c r="O82">
        <f t="shared" si="6"/>
        <v>35000</v>
      </c>
      <c r="P82" t="str">
        <f>_xlfn.XLOOKUP(N82,區隔!$B$3:$B$20,區隔!C$3:C$20,0)</f>
        <v>中部</v>
      </c>
      <c r="Q82" t="str">
        <f>LOOKUP(C82,區隔!$F$3:$F$5,區隔!$E$3:$E$5)</f>
        <v>大坪數</v>
      </c>
      <c r="R82">
        <f t="shared" si="7"/>
        <v>20</v>
      </c>
    </row>
    <row r="83" spans="1:18" x14ac:dyDescent="0.3">
      <c r="A83" s="7" t="s">
        <v>566</v>
      </c>
      <c r="B83" t="s">
        <v>0</v>
      </c>
      <c r="C83">
        <v>33.270000000000003</v>
      </c>
      <c r="D83" t="s">
        <v>280</v>
      </c>
      <c r="E83" t="s">
        <v>35</v>
      </c>
      <c r="F83" t="s">
        <v>567</v>
      </c>
      <c r="G83" t="s">
        <v>54</v>
      </c>
      <c r="H83" t="str" cm="1">
        <f t="array" ref="H83:I83">_xlfn.TEXTSPLIT(SUBSTITUTE(D83,"樓",""),"/",,,0)</f>
        <v>15</v>
      </c>
      <c r="I83" t="str">
        <v>15</v>
      </c>
      <c r="J83" cm="1">
        <f t="array" ref="J83">GetNumByUnit(E83,"房")</f>
        <v>2</v>
      </c>
      <c r="K83" cm="1">
        <f t="array" ref="K83">GetNumByUnit(E83,"廳")</f>
        <v>2</v>
      </c>
      <c r="L83" cm="1">
        <f t="array" ref="L83">GetNumByUnit(E83,"衛")</f>
        <v>1</v>
      </c>
      <c r="M83" t="str">
        <f t="shared" si="4"/>
        <v xml:space="preserve">高雄市左營區鼓山三路  </v>
      </c>
      <c r="N83" t="str">
        <f t="shared" si="5"/>
        <v>高雄市</v>
      </c>
      <c r="O83">
        <f t="shared" si="6"/>
        <v>28000</v>
      </c>
      <c r="P83" t="str">
        <f>_xlfn.XLOOKUP(N83,區隔!$B$3:$B$20,區隔!C$3:C$20,0)</f>
        <v>南部</v>
      </c>
      <c r="Q83" t="str">
        <f>LOOKUP(C83,區隔!$F$3:$F$5,區隔!$E$3:$E$5)</f>
        <v>大坪數</v>
      </c>
      <c r="R83">
        <f t="shared" si="7"/>
        <v>20</v>
      </c>
    </row>
    <row r="84" spans="1:18" x14ac:dyDescent="0.3">
      <c r="A84" s="7" t="s">
        <v>992</v>
      </c>
      <c r="B84" t="s">
        <v>0</v>
      </c>
      <c r="C84">
        <v>44.74</v>
      </c>
      <c r="D84" t="s">
        <v>139</v>
      </c>
      <c r="E84" t="s">
        <v>27</v>
      </c>
      <c r="F84" t="s">
        <v>993</v>
      </c>
      <c r="G84" t="s">
        <v>181</v>
      </c>
      <c r="H84" t="str" cm="1">
        <f t="array" ref="H84:I84">_xlfn.TEXTSPLIT(SUBSTITUTE(D84,"樓",""),"/",,,0)</f>
        <v>4</v>
      </c>
      <c r="I84" t="str">
        <v>15</v>
      </c>
      <c r="J84" cm="1">
        <f t="array" ref="J84">GetNumByUnit(E84,"房")</f>
        <v>2</v>
      </c>
      <c r="K84" cm="1">
        <f t="array" ref="K84">GetNumByUnit(E84,"廳")</f>
        <v>2</v>
      </c>
      <c r="L84" cm="1">
        <f t="array" ref="L84">GetNumByUnit(E84,"衛")</f>
        <v>2</v>
      </c>
      <c r="M84" t="str">
        <f t="shared" si="4"/>
        <v xml:space="preserve">高雄市三民區褒揚東街  </v>
      </c>
      <c r="N84" t="str">
        <f t="shared" si="5"/>
        <v>高雄市</v>
      </c>
      <c r="O84">
        <f t="shared" si="6"/>
        <v>29000</v>
      </c>
      <c r="P84" t="str">
        <f>_xlfn.XLOOKUP(N84,區隔!$B$3:$B$20,區隔!C$3:C$20,0)</f>
        <v>南部</v>
      </c>
      <c r="Q84" t="str">
        <f>LOOKUP(C84,區隔!$F$3:$F$5,區隔!$E$3:$E$5)</f>
        <v>大坪數</v>
      </c>
      <c r="R84">
        <f t="shared" si="7"/>
        <v>20</v>
      </c>
    </row>
    <row r="85" spans="1:18" x14ac:dyDescent="0.3">
      <c r="A85" s="7" t="s">
        <v>994</v>
      </c>
      <c r="B85" t="s">
        <v>0</v>
      </c>
      <c r="C85">
        <v>23</v>
      </c>
      <c r="D85" t="s">
        <v>39</v>
      </c>
      <c r="E85" t="s">
        <v>35</v>
      </c>
      <c r="F85" t="s">
        <v>995</v>
      </c>
      <c r="G85" t="s">
        <v>12</v>
      </c>
      <c r="H85" t="str" cm="1">
        <f t="array" ref="H85:I85">_xlfn.TEXTSPLIT(SUBSTITUTE(D85,"樓",""),"/",,,0)</f>
        <v>4</v>
      </c>
      <c r="I85" t="str">
        <v>4</v>
      </c>
      <c r="J85" cm="1">
        <f t="array" ref="J85">GetNumByUnit(E85,"房")</f>
        <v>2</v>
      </c>
      <c r="K85" cm="1">
        <f t="array" ref="K85">GetNumByUnit(E85,"廳")</f>
        <v>2</v>
      </c>
      <c r="L85" cm="1">
        <f t="array" ref="L85">GetNumByUnit(E85,"衛")</f>
        <v>1</v>
      </c>
      <c r="M85" t="str">
        <f t="shared" si="4"/>
        <v xml:space="preserve">台北市南港區東新街  </v>
      </c>
      <c r="N85" t="str">
        <f t="shared" si="5"/>
        <v>台北市</v>
      </c>
      <c r="O85">
        <f t="shared" si="6"/>
        <v>22000</v>
      </c>
      <c r="P85" t="str">
        <f>_xlfn.XLOOKUP(N85,區隔!$B$3:$B$20,區隔!C$3:C$20,0)</f>
        <v>北部</v>
      </c>
      <c r="Q85" t="str">
        <f>LOOKUP(C85,區隔!$F$3:$F$5,區隔!$E$3:$E$5)</f>
        <v>中坪數</v>
      </c>
      <c r="R85">
        <f t="shared" si="7"/>
        <v>10</v>
      </c>
    </row>
    <row r="86" spans="1:18" x14ac:dyDescent="0.3">
      <c r="A86" s="7" t="s">
        <v>996</v>
      </c>
      <c r="B86" t="s">
        <v>0</v>
      </c>
      <c r="C86">
        <v>41.06</v>
      </c>
      <c r="D86" t="s">
        <v>79</v>
      </c>
      <c r="E86" t="s">
        <v>35</v>
      </c>
      <c r="F86" t="s">
        <v>422</v>
      </c>
      <c r="G86" t="s">
        <v>54</v>
      </c>
      <c r="H86" t="str" cm="1">
        <f t="array" ref="H86:I86">_xlfn.TEXTSPLIT(SUBSTITUTE(D86,"樓",""),"/",,,0)</f>
        <v>6</v>
      </c>
      <c r="I86" t="str">
        <v>14</v>
      </c>
      <c r="J86" cm="1">
        <f t="array" ref="J86">GetNumByUnit(E86,"房")</f>
        <v>2</v>
      </c>
      <c r="K86" cm="1">
        <f t="array" ref="K86">GetNumByUnit(E86,"廳")</f>
        <v>2</v>
      </c>
      <c r="L86" cm="1">
        <f t="array" ref="L86">GetNumByUnit(E86,"衛")</f>
        <v>1</v>
      </c>
      <c r="M86" t="str">
        <f t="shared" si="4"/>
        <v xml:space="preserve">桃園市桃園區民光東路  </v>
      </c>
      <c r="N86" t="str">
        <f t="shared" si="5"/>
        <v>桃園市</v>
      </c>
      <c r="O86">
        <f t="shared" si="6"/>
        <v>28000</v>
      </c>
      <c r="P86" t="str">
        <f>_xlfn.XLOOKUP(N86,區隔!$B$3:$B$20,區隔!C$3:C$20,0)</f>
        <v>北部</v>
      </c>
      <c r="Q86" t="str">
        <f>LOOKUP(C86,區隔!$F$3:$F$5,區隔!$E$3:$E$5)</f>
        <v>大坪數</v>
      </c>
      <c r="R86">
        <f t="shared" si="7"/>
        <v>20</v>
      </c>
    </row>
    <row r="87" spans="1:18" x14ac:dyDescent="0.3">
      <c r="A87" s="7" t="s">
        <v>562</v>
      </c>
      <c r="B87" t="s">
        <v>0</v>
      </c>
      <c r="C87">
        <v>49.71</v>
      </c>
      <c r="D87" t="s">
        <v>398</v>
      </c>
      <c r="E87" t="s">
        <v>27</v>
      </c>
      <c r="F87" t="s">
        <v>465</v>
      </c>
      <c r="G87" t="s">
        <v>168</v>
      </c>
      <c r="H87" t="str" cm="1">
        <f t="array" ref="H87:I87">_xlfn.TEXTSPLIT(SUBSTITUTE(D87,"樓",""),"/",,,0)</f>
        <v>7</v>
      </c>
      <c r="I87" t="str">
        <v>29</v>
      </c>
      <c r="J87" cm="1">
        <f t="array" ref="J87">GetNumByUnit(E87,"房")</f>
        <v>2</v>
      </c>
      <c r="K87" cm="1">
        <f t="array" ref="K87">GetNumByUnit(E87,"廳")</f>
        <v>2</v>
      </c>
      <c r="L87" cm="1">
        <f t="array" ref="L87">GetNumByUnit(E87,"衛")</f>
        <v>2</v>
      </c>
      <c r="M87" t="str">
        <f t="shared" si="4"/>
        <v xml:space="preserve">台南市安平區國平北路  </v>
      </c>
      <c r="N87" t="str">
        <f t="shared" si="5"/>
        <v>台南市</v>
      </c>
      <c r="O87">
        <f t="shared" si="6"/>
        <v>33000</v>
      </c>
      <c r="P87" t="str">
        <f>_xlfn.XLOOKUP(N87,區隔!$B$3:$B$20,區隔!C$3:C$20,0)</f>
        <v>南部</v>
      </c>
      <c r="Q87" t="str">
        <f>LOOKUP(C87,區隔!$F$3:$F$5,區隔!$E$3:$E$5)</f>
        <v>大坪數</v>
      </c>
      <c r="R87">
        <f t="shared" si="7"/>
        <v>30</v>
      </c>
    </row>
    <row r="88" spans="1:18" x14ac:dyDescent="0.3">
      <c r="A88" s="7" t="s">
        <v>997</v>
      </c>
      <c r="B88" t="s">
        <v>0</v>
      </c>
      <c r="C88">
        <v>20.87</v>
      </c>
      <c r="D88" t="s">
        <v>108</v>
      </c>
      <c r="E88" t="s">
        <v>95</v>
      </c>
      <c r="F88" t="s">
        <v>998</v>
      </c>
      <c r="G88" t="s">
        <v>104</v>
      </c>
      <c r="H88" t="str" cm="1">
        <f t="array" ref="H88:I88">_xlfn.TEXTSPLIT(SUBSTITUTE(D88,"樓",""),"/",,,0)</f>
        <v>2</v>
      </c>
      <c r="I88" t="str">
        <v>4</v>
      </c>
      <c r="J88" cm="1">
        <f t="array" ref="J88">GetNumByUnit(E88,"房")</f>
        <v>3</v>
      </c>
      <c r="K88" cm="1">
        <f t="array" ref="K88">GetNumByUnit(E88,"廳")</f>
        <v>2</v>
      </c>
      <c r="L88" cm="1">
        <f t="array" ref="L88">GetNumByUnit(E88,"衛")</f>
        <v>1</v>
      </c>
      <c r="M88" t="str">
        <f t="shared" si="4"/>
        <v xml:space="preserve">新北市三重區環河南路  </v>
      </c>
      <c r="N88" t="str">
        <f t="shared" si="5"/>
        <v>新北市</v>
      </c>
      <c r="O88">
        <f t="shared" si="6"/>
        <v>18000</v>
      </c>
      <c r="P88" t="str">
        <f>_xlfn.XLOOKUP(N88,區隔!$B$3:$B$20,區隔!C$3:C$20,0)</f>
        <v>北部</v>
      </c>
      <c r="Q88" t="str">
        <f>LOOKUP(C88,區隔!$F$3:$F$5,區隔!$E$3:$E$5)</f>
        <v>中坪數</v>
      </c>
      <c r="R88">
        <f t="shared" si="7"/>
        <v>10</v>
      </c>
    </row>
    <row r="89" spans="1:18" x14ac:dyDescent="0.3">
      <c r="A89" s="7" t="s">
        <v>999</v>
      </c>
      <c r="B89" t="s">
        <v>0</v>
      </c>
      <c r="C89">
        <v>55.58</v>
      </c>
      <c r="D89" t="s">
        <v>139</v>
      </c>
      <c r="E89" t="s">
        <v>29</v>
      </c>
      <c r="F89" t="s">
        <v>1000</v>
      </c>
      <c r="G89" t="s">
        <v>54</v>
      </c>
      <c r="H89" t="str" cm="1">
        <f t="array" ref="H89:I89">_xlfn.TEXTSPLIT(SUBSTITUTE(D89,"樓",""),"/",,,0)</f>
        <v>4</v>
      </c>
      <c r="I89" t="str">
        <v>15</v>
      </c>
      <c r="J89" cm="1">
        <f t="array" ref="J89">GetNumByUnit(E89,"房")</f>
        <v>3</v>
      </c>
      <c r="K89" cm="1">
        <f t="array" ref="K89">GetNumByUnit(E89,"廳")</f>
        <v>2</v>
      </c>
      <c r="L89" cm="1">
        <f t="array" ref="L89">GetNumByUnit(E89,"衛")</f>
        <v>2</v>
      </c>
      <c r="M89" t="str">
        <f t="shared" si="4"/>
        <v xml:space="preserve">高雄市楠梓區大學南路  </v>
      </c>
      <c r="N89" t="str">
        <f t="shared" si="5"/>
        <v>高雄市</v>
      </c>
      <c r="O89">
        <f t="shared" si="6"/>
        <v>28000</v>
      </c>
      <c r="P89" t="str">
        <f>_xlfn.XLOOKUP(N89,區隔!$B$3:$B$20,區隔!C$3:C$20,0)</f>
        <v>南部</v>
      </c>
      <c r="Q89" t="str">
        <f>LOOKUP(C89,區隔!$F$3:$F$5,區隔!$E$3:$E$5)</f>
        <v>大坪數</v>
      </c>
      <c r="R89">
        <f t="shared" si="7"/>
        <v>20</v>
      </c>
    </row>
    <row r="90" spans="1:18" x14ac:dyDescent="0.3">
      <c r="A90" s="7" t="s">
        <v>1001</v>
      </c>
      <c r="B90" t="s">
        <v>0</v>
      </c>
      <c r="C90">
        <v>41.43</v>
      </c>
      <c r="D90" t="s">
        <v>292</v>
      </c>
      <c r="E90" t="s">
        <v>125</v>
      </c>
      <c r="F90" t="s">
        <v>1002</v>
      </c>
      <c r="G90" t="s">
        <v>89</v>
      </c>
      <c r="H90" t="str" cm="1">
        <f t="array" ref="H90:I90">_xlfn.TEXTSPLIT(SUBSTITUTE(D90,"樓",""),"/",,,0)</f>
        <v>1-2</v>
      </c>
      <c r="I90" t="str">
        <v>14</v>
      </c>
      <c r="J90" cm="1">
        <f t="array" ref="J90">GetNumByUnit(E90,"房")</f>
        <v>1</v>
      </c>
      <c r="K90" cm="1">
        <f t="array" ref="K90">GetNumByUnit(E90,"廳")</f>
        <v>2</v>
      </c>
      <c r="L90" cm="1">
        <f t="array" ref="L90">GetNumByUnit(E90,"衛")</f>
        <v>2</v>
      </c>
      <c r="M90" t="str">
        <f t="shared" si="4"/>
        <v xml:space="preserve"> 台中市南屯區大進街  </v>
      </c>
      <c r="N90" t="str">
        <f t="shared" si="5"/>
        <v>台中市</v>
      </c>
      <c r="O90">
        <f t="shared" si="6"/>
        <v>38000</v>
      </c>
      <c r="P90" t="str">
        <f>_xlfn.XLOOKUP(N90,區隔!$B$3:$B$20,區隔!C$3:C$20,0)</f>
        <v>中部</v>
      </c>
      <c r="Q90" t="str">
        <f>LOOKUP(C90,區隔!$F$3:$F$5,區隔!$E$3:$E$5)</f>
        <v>大坪數</v>
      </c>
      <c r="R90">
        <f t="shared" si="7"/>
        <v>20</v>
      </c>
    </row>
    <row r="91" spans="1:18" x14ac:dyDescent="0.3">
      <c r="A91" s="7" t="s">
        <v>1003</v>
      </c>
      <c r="B91" t="s">
        <v>0</v>
      </c>
      <c r="C91">
        <v>34.5</v>
      </c>
      <c r="D91" t="s">
        <v>31</v>
      </c>
      <c r="E91" t="s">
        <v>27</v>
      </c>
      <c r="F91" t="s">
        <v>1004</v>
      </c>
      <c r="G91" t="s">
        <v>116</v>
      </c>
      <c r="H91" t="str" cm="1">
        <f t="array" ref="H91:I91">_xlfn.TEXTSPLIT(SUBSTITUTE(D91,"樓",""),"/",,,0)</f>
        <v>12</v>
      </c>
      <c r="I91" t="str">
        <v>12</v>
      </c>
      <c r="J91" cm="1">
        <f t="array" ref="J91">GetNumByUnit(E91,"房")</f>
        <v>2</v>
      </c>
      <c r="K91" cm="1">
        <f t="array" ref="K91">GetNumByUnit(E91,"廳")</f>
        <v>2</v>
      </c>
      <c r="L91" cm="1">
        <f t="array" ref="L91">GetNumByUnit(E91,"衛")</f>
        <v>2</v>
      </c>
      <c r="M91" t="str">
        <f t="shared" si="4"/>
        <v xml:space="preserve">桃園市八德區興豐路  </v>
      </c>
      <c r="N91" t="str">
        <f t="shared" si="5"/>
        <v>桃園市</v>
      </c>
      <c r="O91">
        <f t="shared" si="6"/>
        <v>23000</v>
      </c>
      <c r="P91" t="str">
        <f>_xlfn.XLOOKUP(N91,區隔!$B$3:$B$20,區隔!C$3:C$20,0)</f>
        <v>北部</v>
      </c>
      <c r="Q91" t="str">
        <f>LOOKUP(C91,區隔!$F$3:$F$5,區隔!$E$3:$E$5)</f>
        <v>大坪數</v>
      </c>
      <c r="R91">
        <f t="shared" si="7"/>
        <v>20</v>
      </c>
    </row>
    <row r="92" spans="1:18" x14ac:dyDescent="0.3">
      <c r="A92" s="7" t="s">
        <v>1005</v>
      </c>
      <c r="B92" t="s">
        <v>0</v>
      </c>
      <c r="C92">
        <v>35.51</v>
      </c>
      <c r="D92" t="s">
        <v>430</v>
      </c>
      <c r="E92" t="s">
        <v>35</v>
      </c>
      <c r="F92" t="s">
        <v>429</v>
      </c>
      <c r="G92" t="s">
        <v>421</v>
      </c>
      <c r="H92" t="str" cm="1">
        <f t="array" ref="H92:I92">_xlfn.TEXTSPLIT(SUBSTITUTE(D92,"樓",""),"/",,,0)</f>
        <v>19</v>
      </c>
      <c r="I92" t="str">
        <v>19</v>
      </c>
      <c r="J92" cm="1">
        <f t="array" ref="J92">GetNumByUnit(E92,"房")</f>
        <v>2</v>
      </c>
      <c r="K92" cm="1">
        <f t="array" ref="K92">GetNumByUnit(E92,"廳")</f>
        <v>2</v>
      </c>
      <c r="L92" cm="1">
        <f t="array" ref="L92">GetNumByUnit(E92,"衛")</f>
        <v>1</v>
      </c>
      <c r="M92" t="str">
        <f t="shared" si="4"/>
        <v xml:space="preserve">台南市安南區樂活一街  </v>
      </c>
      <c r="N92" t="str">
        <f t="shared" si="5"/>
        <v>台南市</v>
      </c>
      <c r="O92">
        <f t="shared" si="6"/>
        <v>22500</v>
      </c>
      <c r="P92" t="str">
        <f>_xlfn.XLOOKUP(N92,區隔!$B$3:$B$20,區隔!C$3:C$20,0)</f>
        <v>南部</v>
      </c>
      <c r="Q92" t="str">
        <f>LOOKUP(C92,區隔!$F$3:$F$5,區隔!$E$3:$E$5)</f>
        <v>大坪數</v>
      </c>
      <c r="R92">
        <f t="shared" si="7"/>
        <v>20</v>
      </c>
    </row>
    <row r="93" spans="1:18" x14ac:dyDescent="0.3">
      <c r="A93" s="7" t="s">
        <v>1006</v>
      </c>
      <c r="B93" t="s">
        <v>0</v>
      </c>
      <c r="C93">
        <v>41.55</v>
      </c>
      <c r="D93" t="s">
        <v>233</v>
      </c>
      <c r="E93" t="s">
        <v>35</v>
      </c>
      <c r="F93" t="s">
        <v>24</v>
      </c>
      <c r="G93" t="s">
        <v>60</v>
      </c>
      <c r="H93" t="str" cm="1">
        <f t="array" ref="H93:I93">_xlfn.TEXTSPLIT(SUBSTITUTE(D93,"樓",""),"/",,,0)</f>
        <v>6</v>
      </c>
      <c r="I93" t="str">
        <v>15</v>
      </c>
      <c r="J93" cm="1">
        <f t="array" ref="J93">GetNumByUnit(E93,"房")</f>
        <v>2</v>
      </c>
      <c r="K93" cm="1">
        <f t="array" ref="K93">GetNumByUnit(E93,"廳")</f>
        <v>2</v>
      </c>
      <c r="L93" cm="1">
        <f t="array" ref="L93">GetNumByUnit(E93,"衛")</f>
        <v>1</v>
      </c>
      <c r="M93" t="str">
        <f t="shared" si="4"/>
        <v xml:space="preserve">台北市內湖區民權東路六段  </v>
      </c>
      <c r="N93" t="str">
        <f t="shared" si="5"/>
        <v>台北市</v>
      </c>
      <c r="O93">
        <f t="shared" si="6"/>
        <v>48000</v>
      </c>
      <c r="P93" t="str">
        <f>_xlfn.XLOOKUP(N93,區隔!$B$3:$B$20,區隔!C$3:C$20,0)</f>
        <v>北部</v>
      </c>
      <c r="Q93" t="str">
        <f>LOOKUP(C93,區隔!$F$3:$F$5,區隔!$E$3:$E$5)</f>
        <v>大坪數</v>
      </c>
      <c r="R93">
        <f t="shared" si="7"/>
        <v>20</v>
      </c>
    </row>
    <row r="94" spans="1:18" x14ac:dyDescent="0.3">
      <c r="A94" s="7" t="s">
        <v>1007</v>
      </c>
      <c r="B94" t="s">
        <v>0</v>
      </c>
      <c r="C94">
        <v>32.53</v>
      </c>
      <c r="D94" t="s">
        <v>1008</v>
      </c>
      <c r="E94" t="s">
        <v>72</v>
      </c>
      <c r="F94" t="s">
        <v>1009</v>
      </c>
      <c r="G94" t="s">
        <v>185</v>
      </c>
      <c r="H94" t="str" cm="1">
        <f t="array" ref="H94:I94">_xlfn.TEXTSPLIT(SUBSTITUTE(D94,"樓",""),"/",,,0)</f>
        <v>21</v>
      </c>
      <c r="I94" t="str">
        <v>21</v>
      </c>
      <c r="J94" cm="1">
        <f t="array" ref="J94">GetNumByUnit(E94,"房")</f>
        <v>2</v>
      </c>
      <c r="K94" cm="1">
        <f t="array" ref="K94">GetNumByUnit(E94,"廳")</f>
        <v>1</v>
      </c>
      <c r="L94" cm="1">
        <f t="array" ref="L94">GetNumByUnit(E94,"衛")</f>
        <v>1</v>
      </c>
      <c r="M94" t="str">
        <f t="shared" si="4"/>
        <v xml:space="preserve">高雄市左營區富國路  </v>
      </c>
      <c r="N94" t="str">
        <f t="shared" si="5"/>
        <v>高雄市</v>
      </c>
      <c r="O94">
        <f t="shared" si="6"/>
        <v>20000</v>
      </c>
      <c r="P94" t="str">
        <f>_xlfn.XLOOKUP(N94,區隔!$B$3:$B$20,區隔!C$3:C$20,0)</f>
        <v>南部</v>
      </c>
      <c r="Q94" t="str">
        <f>LOOKUP(C94,區隔!$F$3:$F$5,區隔!$E$3:$E$5)</f>
        <v>大坪數</v>
      </c>
      <c r="R94">
        <f t="shared" si="7"/>
        <v>30</v>
      </c>
    </row>
    <row r="95" spans="1:18" x14ac:dyDescent="0.3">
      <c r="A95" s="7" t="s">
        <v>1010</v>
      </c>
      <c r="B95" t="s">
        <v>0</v>
      </c>
      <c r="C95">
        <v>14.96</v>
      </c>
      <c r="D95" t="s">
        <v>196</v>
      </c>
      <c r="E95" t="s">
        <v>171</v>
      </c>
      <c r="F95" t="s">
        <v>1011</v>
      </c>
      <c r="G95" t="s">
        <v>15</v>
      </c>
      <c r="H95" t="str" cm="1">
        <f t="array" ref="H95:I95">_xlfn.TEXTSPLIT(SUBSTITUTE(D95,"樓",""),"/",,,0)</f>
        <v>6</v>
      </c>
      <c r="I95" t="str">
        <v>9</v>
      </c>
      <c r="J95" cm="1">
        <f t="array" ref="J95">GetNumByUnit(E95,"房")</f>
        <v>1</v>
      </c>
      <c r="K95" cm="1">
        <f t="array" ref="K95">GetNumByUnit(E95,"廳")</f>
        <v>1</v>
      </c>
      <c r="L95" cm="1">
        <f t="array" ref="L95">GetNumByUnit(E95,"衛")</f>
        <v>1</v>
      </c>
      <c r="M95" t="str">
        <f t="shared" si="4"/>
        <v xml:space="preserve">台北市大安區師大路  </v>
      </c>
      <c r="N95" t="str">
        <f t="shared" si="5"/>
        <v>台北市</v>
      </c>
      <c r="O95">
        <f t="shared" si="6"/>
        <v>32000</v>
      </c>
      <c r="P95" t="str">
        <f>_xlfn.XLOOKUP(N95,區隔!$B$3:$B$20,區隔!C$3:C$20,0)</f>
        <v>北部</v>
      </c>
      <c r="Q95" t="str">
        <f>LOOKUP(C95,區隔!$F$3:$F$5,區隔!$E$3:$E$5)</f>
        <v>小坪數</v>
      </c>
      <c r="R95">
        <f t="shared" si="7"/>
        <v>10</v>
      </c>
    </row>
    <row r="96" spans="1:18" x14ac:dyDescent="0.3">
      <c r="A96" s="7" t="s">
        <v>560</v>
      </c>
      <c r="B96" t="s">
        <v>0</v>
      </c>
      <c r="C96">
        <v>28.76</v>
      </c>
      <c r="D96" t="s">
        <v>55</v>
      </c>
      <c r="E96" t="s">
        <v>35</v>
      </c>
      <c r="F96" t="s">
        <v>561</v>
      </c>
      <c r="G96" t="s">
        <v>136</v>
      </c>
      <c r="H96" t="str" cm="1">
        <f t="array" ref="H96:I96">_xlfn.TEXTSPLIT(SUBSTITUTE(D96,"樓",""),"/",,,0)</f>
        <v>8</v>
      </c>
      <c r="I96" t="str">
        <v>15</v>
      </c>
      <c r="J96" cm="1">
        <f t="array" ref="J96">GetNumByUnit(E96,"房")</f>
        <v>2</v>
      </c>
      <c r="K96" cm="1">
        <f t="array" ref="K96">GetNumByUnit(E96,"廳")</f>
        <v>2</v>
      </c>
      <c r="L96" cm="1">
        <f t="array" ref="L96">GetNumByUnit(E96,"衛")</f>
        <v>1</v>
      </c>
      <c r="M96" t="str">
        <f t="shared" si="4"/>
        <v xml:space="preserve">高雄市楠梓區藍田路  </v>
      </c>
      <c r="N96" t="str">
        <f t="shared" si="5"/>
        <v>高雄市</v>
      </c>
      <c r="O96">
        <f t="shared" si="6"/>
        <v>19000</v>
      </c>
      <c r="P96" t="str">
        <f>_xlfn.XLOOKUP(N96,區隔!$B$3:$B$20,區隔!C$3:C$20,0)</f>
        <v>南部</v>
      </c>
      <c r="Q96" t="str">
        <f>LOOKUP(C96,區隔!$F$3:$F$5,區隔!$E$3:$E$5)</f>
        <v>中坪數</v>
      </c>
      <c r="R96">
        <f t="shared" si="7"/>
        <v>20</v>
      </c>
    </row>
    <row r="97" spans="1:18" x14ac:dyDescent="0.3">
      <c r="A97" s="7" t="s">
        <v>1012</v>
      </c>
      <c r="B97" t="s">
        <v>0</v>
      </c>
      <c r="C97">
        <v>23.6</v>
      </c>
      <c r="D97" t="s">
        <v>39</v>
      </c>
      <c r="E97" t="s">
        <v>72</v>
      </c>
      <c r="F97" t="s">
        <v>1013</v>
      </c>
      <c r="G97" t="s">
        <v>54</v>
      </c>
      <c r="H97" t="str" cm="1">
        <f t="array" ref="H97:I97">_xlfn.TEXTSPLIT(SUBSTITUTE(D97,"樓",""),"/",,,0)</f>
        <v>4</v>
      </c>
      <c r="I97" t="str">
        <v>4</v>
      </c>
      <c r="J97" cm="1">
        <f t="array" ref="J97">GetNumByUnit(E97,"房")</f>
        <v>2</v>
      </c>
      <c r="K97" cm="1">
        <f t="array" ref="K97">GetNumByUnit(E97,"廳")</f>
        <v>1</v>
      </c>
      <c r="L97" cm="1">
        <f t="array" ref="L97">GetNumByUnit(E97,"衛")</f>
        <v>1</v>
      </c>
      <c r="M97" t="str">
        <f t="shared" si="4"/>
        <v xml:space="preserve">新北市三重區三和路三段  </v>
      </c>
      <c r="N97" t="str">
        <f t="shared" si="5"/>
        <v>新北市</v>
      </c>
      <c r="O97">
        <f t="shared" si="6"/>
        <v>28000</v>
      </c>
      <c r="P97" t="str">
        <f>_xlfn.XLOOKUP(N97,區隔!$B$3:$B$20,區隔!C$3:C$20,0)</f>
        <v>北部</v>
      </c>
      <c r="Q97" t="str">
        <f>LOOKUP(C97,區隔!$F$3:$F$5,區隔!$E$3:$E$5)</f>
        <v>中坪數</v>
      </c>
      <c r="R97">
        <f t="shared" si="7"/>
        <v>10</v>
      </c>
    </row>
    <row r="98" spans="1:18" x14ac:dyDescent="0.3">
      <c r="A98" s="7" t="s">
        <v>1014</v>
      </c>
      <c r="B98" t="s">
        <v>0</v>
      </c>
      <c r="C98">
        <v>27.54</v>
      </c>
      <c r="D98" t="s">
        <v>309</v>
      </c>
      <c r="E98" t="s">
        <v>1015</v>
      </c>
      <c r="F98" t="s">
        <v>1016</v>
      </c>
      <c r="G98" t="s">
        <v>145</v>
      </c>
      <c r="H98" t="str" cm="1">
        <f t="array" ref="H98:I98">_xlfn.TEXTSPLIT(SUBSTITUTE(D98,"樓",""),"/",,,0)</f>
        <v>7</v>
      </c>
      <c r="I98" t="str">
        <v>11</v>
      </c>
      <c r="J98" cm="1">
        <f t="array" ref="J98">GetNumByUnit(E98,"房")</f>
        <v>3</v>
      </c>
      <c r="K98" cm="1">
        <f t="array" ref="K98">GetNumByUnit(E98,"廳")</f>
        <v>2</v>
      </c>
      <c r="L98" cm="1">
        <f t="array" ref="L98">GetNumByUnit(E98,"衛")</f>
        <v>2</v>
      </c>
      <c r="M98" t="str">
        <f t="shared" si="4"/>
        <v xml:space="preserve">台南市永康區中華一路  </v>
      </c>
      <c r="N98" t="str">
        <f t="shared" si="5"/>
        <v>台南市</v>
      </c>
      <c r="O98">
        <f t="shared" si="6"/>
        <v>15000</v>
      </c>
      <c r="P98" t="str">
        <f>_xlfn.XLOOKUP(N98,區隔!$B$3:$B$20,區隔!C$3:C$20,0)</f>
        <v>南部</v>
      </c>
      <c r="Q98" t="str">
        <f>LOOKUP(C98,區隔!$F$3:$F$5,區隔!$E$3:$E$5)</f>
        <v>中坪數</v>
      </c>
      <c r="R98">
        <f t="shared" si="7"/>
        <v>20</v>
      </c>
    </row>
    <row r="99" spans="1:18" x14ac:dyDescent="0.3">
      <c r="A99" s="7" t="s">
        <v>394</v>
      </c>
      <c r="B99" t="s">
        <v>0</v>
      </c>
      <c r="C99">
        <v>15.59</v>
      </c>
      <c r="D99" t="s">
        <v>387</v>
      </c>
      <c r="E99" t="s">
        <v>30</v>
      </c>
      <c r="F99" t="s">
        <v>395</v>
      </c>
      <c r="G99" t="s">
        <v>145</v>
      </c>
      <c r="H99" t="str" cm="1">
        <f t="array" ref="H99:I99">_xlfn.TEXTSPLIT(SUBSTITUTE(D99,"樓",""),"/",,,0)</f>
        <v>1</v>
      </c>
      <c r="I99" t="str">
        <v>1</v>
      </c>
      <c r="J99" cm="1">
        <f t="array" ref="J99">GetNumByUnit(E99,"房")</f>
        <v>1</v>
      </c>
      <c r="K99" cm="1">
        <f t="array" ref="K99">GetNumByUnit(E99,"廳")</f>
        <v>1</v>
      </c>
      <c r="L99" cm="1">
        <f t="array" ref="L99">GetNumByUnit(E99,"衛")</f>
        <v>1</v>
      </c>
      <c r="M99" t="str">
        <f t="shared" si="4"/>
        <v xml:space="preserve">桃園市八德區豐德路  </v>
      </c>
      <c r="N99" t="str">
        <f t="shared" si="5"/>
        <v>桃園市</v>
      </c>
      <c r="O99">
        <f t="shared" si="6"/>
        <v>15000</v>
      </c>
      <c r="P99" t="str">
        <f>_xlfn.XLOOKUP(N99,區隔!$B$3:$B$20,區隔!C$3:C$20,0)</f>
        <v>北部</v>
      </c>
      <c r="Q99" t="str">
        <f>LOOKUP(C99,區隔!$F$3:$F$5,區隔!$E$3:$E$5)</f>
        <v>中坪數</v>
      </c>
      <c r="R99">
        <f t="shared" si="7"/>
        <v>10</v>
      </c>
    </row>
    <row r="100" spans="1:18" x14ac:dyDescent="0.3">
      <c r="A100" s="7" t="s">
        <v>1017</v>
      </c>
      <c r="B100" t="s">
        <v>0</v>
      </c>
      <c r="C100">
        <v>33.840000000000003</v>
      </c>
      <c r="D100" t="s">
        <v>1018</v>
      </c>
      <c r="E100" t="s">
        <v>35</v>
      </c>
      <c r="F100" t="s">
        <v>556</v>
      </c>
      <c r="G100" t="s">
        <v>14</v>
      </c>
      <c r="H100" t="str" cm="1">
        <f t="array" ref="H100:I100">_xlfn.TEXTSPLIT(SUBSTITUTE(D100,"樓",""),"/",,,0)</f>
        <v>18</v>
      </c>
      <c r="I100" t="str">
        <v>31</v>
      </c>
      <c r="J100" cm="1">
        <f t="array" ref="J100">GetNumByUnit(E100,"房")</f>
        <v>2</v>
      </c>
      <c r="K100" cm="1">
        <f t="array" ref="K100">GetNumByUnit(E100,"廳")</f>
        <v>2</v>
      </c>
      <c r="L100" cm="1">
        <f t="array" ref="L100">GetNumByUnit(E100,"衛")</f>
        <v>1</v>
      </c>
      <c r="M100" t="str">
        <f t="shared" si="4"/>
        <v xml:space="preserve">台中市西屯區市政路  </v>
      </c>
      <c r="N100" t="str">
        <f t="shared" si="5"/>
        <v>台中市</v>
      </c>
      <c r="O100">
        <f t="shared" si="6"/>
        <v>40000</v>
      </c>
      <c r="P100" t="str">
        <f>_xlfn.XLOOKUP(N100,區隔!$B$3:$B$20,區隔!C$3:C$20,0)</f>
        <v>中部</v>
      </c>
      <c r="Q100" t="str">
        <f>LOOKUP(C100,區隔!$F$3:$F$5,區隔!$E$3:$E$5)</f>
        <v>大坪數</v>
      </c>
      <c r="R100">
        <f t="shared" si="7"/>
        <v>40</v>
      </c>
    </row>
    <row r="101" spans="1:18" x14ac:dyDescent="0.3">
      <c r="A101" s="7" t="s">
        <v>587</v>
      </c>
      <c r="B101" t="s">
        <v>0</v>
      </c>
      <c r="C101">
        <v>25.98</v>
      </c>
      <c r="D101" t="s">
        <v>53</v>
      </c>
      <c r="E101" t="s">
        <v>30</v>
      </c>
      <c r="F101" t="s">
        <v>483</v>
      </c>
      <c r="G101" t="s">
        <v>136</v>
      </c>
      <c r="H101" t="str" cm="1">
        <f t="array" ref="H101:I101">_xlfn.TEXTSPLIT(SUBSTITUTE(D101,"樓",""),"/",,,0)</f>
        <v>2</v>
      </c>
      <c r="I101" t="str">
        <v>5</v>
      </c>
      <c r="J101" cm="1">
        <f t="array" ref="J101">GetNumByUnit(E101,"房")</f>
        <v>1</v>
      </c>
      <c r="K101" cm="1">
        <f t="array" ref="K101">GetNumByUnit(E101,"廳")</f>
        <v>1</v>
      </c>
      <c r="L101" cm="1">
        <f t="array" ref="L101">GetNumByUnit(E101,"衛")</f>
        <v>1</v>
      </c>
      <c r="M101" t="str">
        <f t="shared" si="4"/>
        <v xml:space="preserve">新北市新莊區民安西路  </v>
      </c>
      <c r="N101" t="str">
        <f t="shared" si="5"/>
        <v>新北市</v>
      </c>
      <c r="O101">
        <f t="shared" si="6"/>
        <v>19000</v>
      </c>
      <c r="P101" t="str">
        <f>_xlfn.XLOOKUP(N101,區隔!$B$3:$B$20,區隔!C$3:C$20,0)</f>
        <v>北部</v>
      </c>
      <c r="Q101" t="str">
        <f>LOOKUP(C101,區隔!$F$3:$F$5,區隔!$E$3:$E$5)</f>
        <v>中坪數</v>
      </c>
      <c r="R101">
        <f t="shared" si="7"/>
        <v>10</v>
      </c>
    </row>
    <row r="102" spans="1:18" x14ac:dyDescent="0.3">
      <c r="A102" s="7" t="s">
        <v>1019</v>
      </c>
      <c r="B102" t="s">
        <v>0</v>
      </c>
      <c r="C102">
        <v>215.67</v>
      </c>
      <c r="D102" t="s">
        <v>248</v>
      </c>
      <c r="E102" t="s">
        <v>1020</v>
      </c>
      <c r="F102" t="s">
        <v>1021</v>
      </c>
      <c r="G102" t="s">
        <v>5</v>
      </c>
      <c r="H102" t="str" cm="1">
        <f t="array" ref="H102:I102">_xlfn.TEXTSPLIT(SUBSTITUTE(D102,"樓",""),"/",,,0)</f>
        <v>14</v>
      </c>
      <c r="I102" t="str">
        <v>15</v>
      </c>
      <c r="J102" cm="1">
        <f t="array" ref="J102">GetNumByUnit(E102,"房")</f>
        <v>6</v>
      </c>
      <c r="K102" cm="1">
        <f t="array" ref="K102">GetNumByUnit(E102,"廳")</f>
        <v>1</v>
      </c>
      <c r="L102" cm="1">
        <f t="array" ref="L102">GetNumByUnit(E102,"衛")</f>
        <v>6</v>
      </c>
      <c r="M102" t="str">
        <f t="shared" si="4"/>
        <v xml:space="preserve">台中市南屯區向上南路一段  </v>
      </c>
      <c r="N102" t="str">
        <f t="shared" si="5"/>
        <v>台中市</v>
      </c>
      <c r="O102">
        <f t="shared" si="6"/>
        <v>150000</v>
      </c>
      <c r="P102" t="str">
        <f>_xlfn.XLOOKUP(N102,區隔!$B$3:$B$20,區隔!C$3:C$20,0)</f>
        <v>中部</v>
      </c>
      <c r="Q102" t="str">
        <f>LOOKUP(C102,區隔!$F$3:$F$5,區隔!$E$3:$E$5)</f>
        <v>大坪數</v>
      </c>
      <c r="R102">
        <f t="shared" si="7"/>
        <v>20</v>
      </c>
    </row>
    <row r="103" spans="1:18" x14ac:dyDescent="0.3">
      <c r="A103" s="7" t="s">
        <v>1022</v>
      </c>
      <c r="B103" t="s">
        <v>0</v>
      </c>
      <c r="C103">
        <v>55.64</v>
      </c>
      <c r="D103" t="s">
        <v>240</v>
      </c>
      <c r="E103" t="s">
        <v>29</v>
      </c>
      <c r="F103" t="s">
        <v>330</v>
      </c>
      <c r="G103" t="s">
        <v>14</v>
      </c>
      <c r="H103" t="str" cm="1">
        <f t="array" ref="H103:I103">_xlfn.TEXTSPLIT(SUBSTITUTE(D103,"樓",""),"/",,,0)</f>
        <v>3</v>
      </c>
      <c r="I103" t="str">
        <v>15</v>
      </c>
      <c r="J103" cm="1">
        <f t="array" ref="J103">GetNumByUnit(E103,"房")</f>
        <v>3</v>
      </c>
      <c r="K103" cm="1">
        <f t="array" ref="K103">GetNumByUnit(E103,"廳")</f>
        <v>2</v>
      </c>
      <c r="L103" cm="1">
        <f t="array" ref="L103">GetNumByUnit(E103,"衛")</f>
        <v>2</v>
      </c>
      <c r="M103" t="str">
        <f t="shared" si="4"/>
        <v xml:space="preserve">台中市太平區環中東路三段  </v>
      </c>
      <c r="N103" t="str">
        <f t="shared" si="5"/>
        <v>台中市</v>
      </c>
      <c r="O103">
        <f t="shared" si="6"/>
        <v>40000</v>
      </c>
      <c r="P103" t="str">
        <f>_xlfn.XLOOKUP(N103,區隔!$B$3:$B$20,區隔!C$3:C$20,0)</f>
        <v>中部</v>
      </c>
      <c r="Q103" t="str">
        <f>LOOKUP(C103,區隔!$F$3:$F$5,區隔!$E$3:$E$5)</f>
        <v>大坪數</v>
      </c>
      <c r="R103">
        <f t="shared" si="7"/>
        <v>20</v>
      </c>
    </row>
    <row r="104" spans="1:18" x14ac:dyDescent="0.3">
      <c r="A104" s="7" t="s">
        <v>1023</v>
      </c>
      <c r="B104" t="s">
        <v>0</v>
      </c>
      <c r="C104">
        <v>55.16</v>
      </c>
      <c r="D104" t="s">
        <v>257</v>
      </c>
      <c r="E104" t="s">
        <v>29</v>
      </c>
      <c r="F104" t="s">
        <v>1024</v>
      </c>
      <c r="G104" t="s">
        <v>8</v>
      </c>
      <c r="H104" t="str" cm="1">
        <f t="array" ref="H104:I104">_xlfn.TEXTSPLIT(SUBSTITUTE(D104,"樓",""),"/",,,0)</f>
        <v>5</v>
      </c>
      <c r="I104" t="str">
        <v>13</v>
      </c>
      <c r="J104" cm="1">
        <f t="array" ref="J104">GetNumByUnit(E104,"房")</f>
        <v>3</v>
      </c>
      <c r="K104" cm="1">
        <f t="array" ref="K104">GetNumByUnit(E104,"廳")</f>
        <v>2</v>
      </c>
      <c r="L104" cm="1">
        <f t="array" ref="L104">GetNumByUnit(E104,"衛")</f>
        <v>2</v>
      </c>
      <c r="M104" t="str">
        <f t="shared" si="4"/>
        <v xml:space="preserve">新竹縣竹北市科大一路  </v>
      </c>
      <c r="N104" t="str">
        <f t="shared" si="5"/>
        <v>新竹縣</v>
      </c>
      <c r="O104">
        <f t="shared" si="6"/>
        <v>31000</v>
      </c>
      <c r="P104" t="str">
        <f>_xlfn.XLOOKUP(N104,區隔!$B$3:$B$20,區隔!C$3:C$20,0)</f>
        <v>北部</v>
      </c>
      <c r="Q104" t="str">
        <f>LOOKUP(C104,區隔!$F$3:$F$5,區隔!$E$3:$E$5)</f>
        <v>大坪數</v>
      </c>
      <c r="R104">
        <f t="shared" si="7"/>
        <v>20</v>
      </c>
    </row>
    <row r="105" spans="1:18" x14ac:dyDescent="0.3">
      <c r="A105" s="7" t="s">
        <v>1025</v>
      </c>
      <c r="B105" t="s">
        <v>0</v>
      </c>
      <c r="C105">
        <v>17.11</v>
      </c>
      <c r="D105" t="s">
        <v>250</v>
      </c>
      <c r="E105" t="s">
        <v>35</v>
      </c>
      <c r="F105" t="s">
        <v>555</v>
      </c>
      <c r="G105" t="s">
        <v>112</v>
      </c>
      <c r="H105" t="str" cm="1">
        <f t="array" ref="H105:I105">_xlfn.TEXTSPLIT(SUBSTITUTE(D105,"樓",""),"/",,,0)</f>
        <v>8</v>
      </c>
      <c r="I105" t="str">
        <v>11</v>
      </c>
      <c r="J105" cm="1">
        <f t="array" ref="J105">GetNumByUnit(E105,"房")</f>
        <v>2</v>
      </c>
      <c r="K105" cm="1">
        <f t="array" ref="K105">GetNumByUnit(E105,"廳")</f>
        <v>2</v>
      </c>
      <c r="L105" cm="1">
        <f t="array" ref="L105">GetNumByUnit(E105,"衛")</f>
        <v>1</v>
      </c>
      <c r="M105" t="str">
        <f t="shared" si="4"/>
        <v xml:space="preserve">新北市土城區金信街  </v>
      </c>
      <c r="N105" t="str">
        <f t="shared" si="5"/>
        <v>新北市</v>
      </c>
      <c r="O105">
        <f t="shared" si="6"/>
        <v>35000</v>
      </c>
      <c r="P105" t="str">
        <f>_xlfn.XLOOKUP(N105,區隔!$B$3:$B$20,區隔!C$3:C$20,0)</f>
        <v>北部</v>
      </c>
      <c r="Q105" t="str">
        <f>LOOKUP(C105,區隔!$F$3:$F$5,區隔!$E$3:$E$5)</f>
        <v>中坪數</v>
      </c>
      <c r="R105">
        <f t="shared" si="7"/>
        <v>20</v>
      </c>
    </row>
    <row r="106" spans="1:18" x14ac:dyDescent="0.3">
      <c r="A106" s="7" t="s">
        <v>1026</v>
      </c>
      <c r="B106" t="s">
        <v>0</v>
      </c>
      <c r="C106">
        <v>48.8</v>
      </c>
      <c r="D106" t="s">
        <v>133</v>
      </c>
      <c r="E106" t="s">
        <v>29</v>
      </c>
      <c r="F106" t="s">
        <v>422</v>
      </c>
      <c r="G106" t="s">
        <v>18</v>
      </c>
      <c r="H106" t="str" cm="1">
        <f t="array" ref="H106:I106">_xlfn.TEXTSPLIT(SUBSTITUTE(D106,"樓",""),"/",,,0)</f>
        <v>8</v>
      </c>
      <c r="I106" t="str">
        <v>16</v>
      </c>
      <c r="J106" cm="1">
        <f t="array" ref="J106">GetNumByUnit(E106,"房")</f>
        <v>3</v>
      </c>
      <c r="K106" cm="1">
        <f t="array" ref="K106">GetNumByUnit(E106,"廳")</f>
        <v>2</v>
      </c>
      <c r="L106" cm="1">
        <f t="array" ref="L106">GetNumByUnit(E106,"衛")</f>
        <v>2</v>
      </c>
      <c r="M106" t="str">
        <f t="shared" si="4"/>
        <v xml:space="preserve">桃園市桃園區民光東路  </v>
      </c>
      <c r="N106" t="str">
        <f t="shared" si="5"/>
        <v>桃園市</v>
      </c>
      <c r="O106">
        <f t="shared" si="6"/>
        <v>25000</v>
      </c>
      <c r="P106" t="str">
        <f>_xlfn.XLOOKUP(N106,區隔!$B$3:$B$20,區隔!C$3:C$20,0)</f>
        <v>北部</v>
      </c>
      <c r="Q106" t="str">
        <f>LOOKUP(C106,區隔!$F$3:$F$5,區隔!$E$3:$E$5)</f>
        <v>大坪數</v>
      </c>
      <c r="R106">
        <f t="shared" si="7"/>
        <v>20</v>
      </c>
    </row>
    <row r="107" spans="1:18" x14ac:dyDescent="0.3">
      <c r="A107" s="7" t="s">
        <v>1027</v>
      </c>
      <c r="B107" t="s">
        <v>0</v>
      </c>
      <c r="C107">
        <v>47.43</v>
      </c>
      <c r="D107" t="s">
        <v>1028</v>
      </c>
      <c r="E107" t="s">
        <v>40</v>
      </c>
      <c r="F107" t="s">
        <v>183</v>
      </c>
      <c r="G107" t="s">
        <v>212</v>
      </c>
      <c r="H107" t="str" cm="1">
        <f t="array" ref="H107:I107">_xlfn.TEXTSPLIT(SUBSTITUTE(D107,"樓",""),"/",,,0)</f>
        <v>5</v>
      </c>
      <c r="I107" t="str">
        <v>17</v>
      </c>
      <c r="J107" cm="1">
        <f t="array" ref="J107">GetNumByUnit(E107,"房")</f>
        <v>4</v>
      </c>
      <c r="K107" cm="1">
        <f t="array" ref="K107">GetNumByUnit(E107,"廳")</f>
        <v>2</v>
      </c>
      <c r="L107" cm="1">
        <f t="array" ref="L107">GetNumByUnit(E107,"衛")</f>
        <v>2</v>
      </c>
      <c r="M107" t="str">
        <f t="shared" si="4"/>
        <v xml:space="preserve">台北市大安區安和路二段  </v>
      </c>
      <c r="N107" t="str">
        <f t="shared" si="5"/>
        <v>台北市</v>
      </c>
      <c r="O107">
        <f t="shared" si="6"/>
        <v>82000</v>
      </c>
      <c r="P107" t="str">
        <f>_xlfn.XLOOKUP(N107,區隔!$B$3:$B$20,區隔!C$3:C$20,0)</f>
        <v>北部</v>
      </c>
      <c r="Q107" t="str">
        <f>LOOKUP(C107,區隔!$F$3:$F$5,區隔!$E$3:$E$5)</f>
        <v>大坪數</v>
      </c>
      <c r="R107">
        <f t="shared" si="7"/>
        <v>20</v>
      </c>
    </row>
    <row r="108" spans="1:18" x14ac:dyDescent="0.3">
      <c r="A108" s="7" t="s">
        <v>1029</v>
      </c>
      <c r="B108" t="s">
        <v>0</v>
      </c>
      <c r="C108">
        <v>36.020000000000003</v>
      </c>
      <c r="D108" t="s">
        <v>1030</v>
      </c>
      <c r="E108" t="s">
        <v>72</v>
      </c>
      <c r="F108" t="s">
        <v>412</v>
      </c>
      <c r="G108" t="s">
        <v>54</v>
      </c>
      <c r="H108" t="str" cm="1">
        <f t="array" ref="H108:I108">_xlfn.TEXTSPLIT(SUBSTITUTE(D108,"樓",""),"/",,,0)</f>
        <v>7</v>
      </c>
      <c r="I108" t="str">
        <v>36</v>
      </c>
      <c r="J108" cm="1">
        <f t="array" ref="J108">GetNumByUnit(E108,"房")</f>
        <v>2</v>
      </c>
      <c r="K108" cm="1">
        <f t="array" ref="K108">GetNumByUnit(E108,"廳")</f>
        <v>1</v>
      </c>
      <c r="L108" cm="1">
        <f t="array" ref="L108">GetNumByUnit(E108,"衛")</f>
        <v>1</v>
      </c>
      <c r="M108" t="str">
        <f t="shared" si="4"/>
        <v xml:space="preserve">台中市西屯區臺灣大道三段  </v>
      </c>
      <c r="N108" t="str">
        <f t="shared" si="5"/>
        <v>台中市</v>
      </c>
      <c r="O108">
        <f t="shared" si="6"/>
        <v>28000</v>
      </c>
      <c r="P108" t="str">
        <f>_xlfn.XLOOKUP(N108,區隔!$B$3:$B$20,區隔!C$3:C$20,0)</f>
        <v>中部</v>
      </c>
      <c r="Q108" t="str">
        <f>LOOKUP(C108,區隔!$F$3:$F$5,區隔!$E$3:$E$5)</f>
        <v>大坪數</v>
      </c>
      <c r="R108">
        <f t="shared" si="7"/>
        <v>40</v>
      </c>
    </row>
    <row r="109" spans="1:18" x14ac:dyDescent="0.3">
      <c r="A109" s="7" t="s">
        <v>1031</v>
      </c>
      <c r="B109" t="s">
        <v>0</v>
      </c>
      <c r="C109">
        <v>37.5</v>
      </c>
      <c r="D109" t="s">
        <v>298</v>
      </c>
      <c r="E109" t="s">
        <v>27</v>
      </c>
      <c r="F109" t="s">
        <v>1032</v>
      </c>
      <c r="G109" t="s">
        <v>50</v>
      </c>
      <c r="H109" t="str" cm="1">
        <f t="array" ref="H109:I109">_xlfn.TEXTSPLIT(SUBSTITUTE(D109,"樓",""),"/",,,0)</f>
        <v>7</v>
      </c>
      <c r="I109" t="str">
        <v>18</v>
      </c>
      <c r="J109" cm="1">
        <f t="array" ref="J109">GetNumByUnit(E109,"房")</f>
        <v>2</v>
      </c>
      <c r="K109" cm="1">
        <f t="array" ref="K109">GetNumByUnit(E109,"廳")</f>
        <v>2</v>
      </c>
      <c r="L109" cm="1">
        <f t="array" ref="L109">GetNumByUnit(E109,"衛")</f>
        <v>2</v>
      </c>
      <c r="M109" t="str">
        <f t="shared" si="4"/>
        <v xml:space="preserve">桃園市中壢區高鐵站前西路一段  </v>
      </c>
      <c r="N109" t="str">
        <f t="shared" si="5"/>
        <v>桃園市</v>
      </c>
      <c r="O109">
        <f t="shared" si="6"/>
        <v>27000</v>
      </c>
      <c r="P109" t="str">
        <f>_xlfn.XLOOKUP(N109,區隔!$B$3:$B$20,區隔!C$3:C$20,0)</f>
        <v>北部</v>
      </c>
      <c r="Q109" t="str">
        <f>LOOKUP(C109,區隔!$F$3:$F$5,區隔!$E$3:$E$5)</f>
        <v>大坪數</v>
      </c>
      <c r="R109">
        <f t="shared" si="7"/>
        <v>20</v>
      </c>
    </row>
    <row r="110" spans="1:18" x14ac:dyDescent="0.3">
      <c r="A110" s="7" t="s">
        <v>1033</v>
      </c>
      <c r="B110" t="s">
        <v>0</v>
      </c>
      <c r="C110">
        <v>113.59</v>
      </c>
      <c r="D110" t="s">
        <v>1034</v>
      </c>
      <c r="E110" t="s">
        <v>1035</v>
      </c>
      <c r="F110" t="s">
        <v>1036</v>
      </c>
      <c r="G110" t="s">
        <v>119</v>
      </c>
      <c r="H110" t="str" cm="1">
        <f t="array" ref="H110:I110">_xlfn.TEXTSPLIT(SUBSTITUTE(D110,"樓",""),"/",,,0)</f>
        <v>1-2</v>
      </c>
      <c r="I110" t="str">
        <v>13</v>
      </c>
      <c r="J110" cm="1">
        <f t="array" ref="J110">GetNumByUnit(E110,"房")</f>
        <v>5</v>
      </c>
      <c r="K110" cm="1">
        <f t="array" ref="K110">GetNumByUnit(E110,"廳")</f>
        <v>3</v>
      </c>
      <c r="L110" cm="1">
        <f t="array" ref="L110">GetNumByUnit(E110,"衛")</f>
        <v>4</v>
      </c>
      <c r="M110" t="str">
        <f t="shared" si="4"/>
        <v xml:space="preserve"> 台南市安平區慶平路  </v>
      </c>
      <c r="N110" t="str">
        <f t="shared" si="5"/>
        <v>台南市</v>
      </c>
      <c r="O110">
        <f t="shared" si="6"/>
        <v>75000</v>
      </c>
      <c r="P110" t="str">
        <f>_xlfn.XLOOKUP(N110,區隔!$B$3:$B$20,區隔!C$3:C$20,0)</f>
        <v>南部</v>
      </c>
      <c r="Q110" t="str">
        <f>LOOKUP(C110,區隔!$F$3:$F$5,區隔!$E$3:$E$5)</f>
        <v>大坪數</v>
      </c>
      <c r="R110">
        <f t="shared" si="7"/>
        <v>20</v>
      </c>
    </row>
    <row r="111" spans="1:18" x14ac:dyDescent="0.3">
      <c r="A111" s="7" t="s">
        <v>417</v>
      </c>
      <c r="B111" t="s">
        <v>0</v>
      </c>
      <c r="C111">
        <v>25.93</v>
      </c>
      <c r="D111" t="s">
        <v>138</v>
      </c>
      <c r="E111" t="s">
        <v>95</v>
      </c>
      <c r="F111" t="s">
        <v>418</v>
      </c>
      <c r="G111" t="s">
        <v>52</v>
      </c>
      <c r="H111" t="str" cm="1">
        <f t="array" ref="H111:I111">_xlfn.TEXTSPLIT(SUBSTITUTE(D111,"樓",""),"/",,,0)</f>
        <v>3</v>
      </c>
      <c r="I111" t="str">
        <v>5</v>
      </c>
      <c r="J111" cm="1">
        <f t="array" ref="J111">GetNumByUnit(E111,"房")</f>
        <v>3</v>
      </c>
      <c r="K111" cm="1">
        <f t="array" ref="K111">GetNumByUnit(E111,"廳")</f>
        <v>2</v>
      </c>
      <c r="L111" cm="1">
        <f t="array" ref="L111">GetNumByUnit(E111,"衛")</f>
        <v>1</v>
      </c>
      <c r="M111" t="str">
        <f t="shared" si="4"/>
        <v xml:space="preserve">新北市中和區連城路  </v>
      </c>
      <c r="N111" t="str">
        <f t="shared" si="5"/>
        <v>新北市</v>
      </c>
      <c r="O111">
        <f t="shared" si="6"/>
        <v>24000</v>
      </c>
      <c r="P111" t="str">
        <f>_xlfn.XLOOKUP(N111,區隔!$B$3:$B$20,區隔!C$3:C$20,0)</f>
        <v>北部</v>
      </c>
      <c r="Q111" t="str">
        <f>LOOKUP(C111,區隔!$F$3:$F$5,區隔!$E$3:$E$5)</f>
        <v>中坪數</v>
      </c>
      <c r="R111">
        <f t="shared" si="7"/>
        <v>10</v>
      </c>
    </row>
    <row r="112" spans="1:18" x14ac:dyDescent="0.3">
      <c r="A112" s="7" t="s">
        <v>1037</v>
      </c>
      <c r="B112" t="s">
        <v>0</v>
      </c>
      <c r="C112">
        <v>21.77</v>
      </c>
      <c r="D112" t="s">
        <v>53</v>
      </c>
      <c r="E112" t="s">
        <v>95</v>
      </c>
      <c r="F112" t="s">
        <v>418</v>
      </c>
      <c r="G112" t="s">
        <v>116</v>
      </c>
      <c r="H112" t="str" cm="1">
        <f t="array" ref="H112:I112">_xlfn.TEXTSPLIT(SUBSTITUTE(D112,"樓",""),"/",,,0)</f>
        <v>2</v>
      </c>
      <c r="I112" t="str">
        <v>5</v>
      </c>
      <c r="J112" cm="1">
        <f t="array" ref="J112">GetNumByUnit(E112,"房")</f>
        <v>3</v>
      </c>
      <c r="K112" cm="1">
        <f t="array" ref="K112">GetNumByUnit(E112,"廳")</f>
        <v>2</v>
      </c>
      <c r="L112" cm="1">
        <f t="array" ref="L112">GetNumByUnit(E112,"衛")</f>
        <v>1</v>
      </c>
      <c r="M112" t="str">
        <f t="shared" si="4"/>
        <v xml:space="preserve">新北市中和區連城路  </v>
      </c>
      <c r="N112" t="str">
        <f t="shared" si="5"/>
        <v>新北市</v>
      </c>
      <c r="O112">
        <f t="shared" si="6"/>
        <v>23000</v>
      </c>
      <c r="P112" t="str">
        <f>_xlfn.XLOOKUP(N112,區隔!$B$3:$B$20,區隔!C$3:C$20,0)</f>
        <v>北部</v>
      </c>
      <c r="Q112" t="str">
        <f>LOOKUP(C112,區隔!$F$3:$F$5,區隔!$E$3:$E$5)</f>
        <v>中坪數</v>
      </c>
      <c r="R112">
        <f t="shared" si="7"/>
        <v>10</v>
      </c>
    </row>
    <row r="113" spans="1:18" x14ac:dyDescent="0.3">
      <c r="A113" s="7" t="s">
        <v>1038</v>
      </c>
      <c r="B113" t="s">
        <v>0</v>
      </c>
      <c r="C113">
        <v>12.61</v>
      </c>
      <c r="D113" t="s">
        <v>88</v>
      </c>
      <c r="E113" t="s">
        <v>90</v>
      </c>
      <c r="F113" t="s">
        <v>1039</v>
      </c>
      <c r="G113" t="s">
        <v>18</v>
      </c>
      <c r="H113" t="str" cm="1">
        <f t="array" ref="H113:I113">_xlfn.TEXTSPLIT(SUBSTITUTE(D113,"樓",""),"/",,,0)</f>
        <v>6</v>
      </c>
      <c r="I113" t="str">
        <v>12</v>
      </c>
      <c r="J113" cm="1">
        <f t="array" ref="J113">GetNumByUnit(E113,"房")</f>
        <v>2</v>
      </c>
      <c r="K113" cm="1">
        <f t="array" ref="K113">GetNumByUnit(E113,"廳")</f>
        <v>1</v>
      </c>
      <c r="L113" cm="1">
        <f t="array" ref="L113">GetNumByUnit(E113,"衛")</f>
        <v>1</v>
      </c>
      <c r="M113" t="str">
        <f t="shared" si="4"/>
        <v xml:space="preserve">新北市三重區過圳街  </v>
      </c>
      <c r="N113" t="str">
        <f t="shared" si="5"/>
        <v>新北市</v>
      </c>
      <c r="O113">
        <f t="shared" si="6"/>
        <v>25000</v>
      </c>
      <c r="P113" t="str">
        <f>_xlfn.XLOOKUP(N113,區隔!$B$3:$B$20,區隔!C$3:C$20,0)</f>
        <v>北部</v>
      </c>
      <c r="Q113" t="str">
        <f>LOOKUP(C113,區隔!$F$3:$F$5,區隔!$E$3:$E$5)</f>
        <v>小坪數</v>
      </c>
      <c r="R113">
        <f t="shared" si="7"/>
        <v>20</v>
      </c>
    </row>
    <row r="114" spans="1:18" x14ac:dyDescent="0.3">
      <c r="A114" s="7" t="s">
        <v>1040</v>
      </c>
      <c r="B114" t="s">
        <v>0</v>
      </c>
      <c r="C114">
        <v>48.4</v>
      </c>
      <c r="D114" t="s">
        <v>84</v>
      </c>
      <c r="E114" t="s">
        <v>29</v>
      </c>
      <c r="F114" t="s">
        <v>613</v>
      </c>
      <c r="G114" t="s">
        <v>112</v>
      </c>
      <c r="H114" t="str" cm="1">
        <f t="array" ref="H114:I114">_xlfn.TEXTSPLIT(SUBSTITUTE(D114,"樓",""),"/",,,0)</f>
        <v>5</v>
      </c>
      <c r="I114" t="str">
        <v>15</v>
      </c>
      <c r="J114" cm="1">
        <f t="array" ref="J114">GetNumByUnit(E114,"房")</f>
        <v>3</v>
      </c>
      <c r="K114" cm="1">
        <f t="array" ref="K114">GetNumByUnit(E114,"廳")</f>
        <v>2</v>
      </c>
      <c r="L114" cm="1">
        <f t="array" ref="L114">GetNumByUnit(E114,"衛")</f>
        <v>2</v>
      </c>
      <c r="M114" t="str">
        <f t="shared" si="4"/>
        <v xml:space="preserve">台中市烏日區環河路四段  </v>
      </c>
      <c r="N114" t="str">
        <f t="shared" si="5"/>
        <v>台中市</v>
      </c>
      <c r="O114">
        <f t="shared" si="6"/>
        <v>35000</v>
      </c>
      <c r="P114" t="str">
        <f>_xlfn.XLOOKUP(N114,區隔!$B$3:$B$20,區隔!C$3:C$20,0)</f>
        <v>中部</v>
      </c>
      <c r="Q114" t="str">
        <f>LOOKUP(C114,區隔!$F$3:$F$5,區隔!$E$3:$E$5)</f>
        <v>大坪數</v>
      </c>
      <c r="R114">
        <f t="shared" si="7"/>
        <v>20</v>
      </c>
    </row>
    <row r="115" spans="1:18" x14ac:dyDescent="0.3">
      <c r="A115" s="7" t="s">
        <v>1041</v>
      </c>
      <c r="B115" t="s">
        <v>0</v>
      </c>
      <c r="C115">
        <v>59.11</v>
      </c>
      <c r="D115" t="s">
        <v>1042</v>
      </c>
      <c r="E115" t="s">
        <v>205</v>
      </c>
      <c r="F115" t="s">
        <v>550</v>
      </c>
      <c r="G115" t="s">
        <v>20</v>
      </c>
      <c r="H115" t="str" cm="1">
        <f t="array" ref="H115:I115">_xlfn.TEXTSPLIT(SUBSTITUTE(D115,"樓",""),"/",,,0)</f>
        <v>23</v>
      </c>
      <c r="I115" t="str">
        <v>28</v>
      </c>
      <c r="J115" cm="1">
        <f t="array" ref="J115">GetNumByUnit(E115,"房")</f>
        <v>3</v>
      </c>
      <c r="K115" cm="1">
        <f t="array" ref="K115">GetNumByUnit(E115,"廳")</f>
        <v>2</v>
      </c>
      <c r="L115" cm="1">
        <f t="array" ref="L115">GetNumByUnit(E115,"衛")</f>
        <v>2</v>
      </c>
      <c r="M115" t="str">
        <f t="shared" si="4"/>
        <v xml:space="preserve">新北市土城區中央路二段  </v>
      </c>
      <c r="N115" t="str">
        <f t="shared" si="5"/>
        <v>新北市</v>
      </c>
      <c r="O115">
        <f t="shared" si="6"/>
        <v>46000</v>
      </c>
      <c r="P115" t="str">
        <f>_xlfn.XLOOKUP(N115,區隔!$B$3:$B$20,區隔!C$3:C$20,0)</f>
        <v>北部</v>
      </c>
      <c r="Q115" t="str">
        <f>LOOKUP(C115,區隔!$F$3:$F$5,區隔!$E$3:$E$5)</f>
        <v>大坪數</v>
      </c>
      <c r="R115">
        <f t="shared" si="7"/>
        <v>30</v>
      </c>
    </row>
    <row r="116" spans="1:18" x14ac:dyDescent="0.3">
      <c r="A116" s="7" t="s">
        <v>1043</v>
      </c>
      <c r="B116" t="s">
        <v>0</v>
      </c>
      <c r="C116">
        <v>47.19</v>
      </c>
      <c r="D116" t="s">
        <v>430</v>
      </c>
      <c r="E116" t="s">
        <v>40</v>
      </c>
      <c r="F116" t="s">
        <v>1044</v>
      </c>
      <c r="G116" t="s">
        <v>18</v>
      </c>
      <c r="H116" t="str" cm="1">
        <f t="array" ref="H116:I116">_xlfn.TEXTSPLIT(SUBSTITUTE(D116,"樓",""),"/",,,0)</f>
        <v>19</v>
      </c>
      <c r="I116" t="str">
        <v>19</v>
      </c>
      <c r="J116" cm="1">
        <f t="array" ref="J116">GetNumByUnit(E116,"房")</f>
        <v>4</v>
      </c>
      <c r="K116" cm="1">
        <f t="array" ref="K116">GetNumByUnit(E116,"廳")</f>
        <v>2</v>
      </c>
      <c r="L116" cm="1">
        <f t="array" ref="L116">GetNumByUnit(E116,"衛")</f>
        <v>2</v>
      </c>
      <c r="M116" t="str">
        <f t="shared" si="4"/>
        <v xml:space="preserve">新竹市新竹市建中一路  </v>
      </c>
      <c r="N116" t="str">
        <f t="shared" si="5"/>
        <v>新竹市</v>
      </c>
      <c r="O116">
        <f t="shared" si="6"/>
        <v>25000</v>
      </c>
      <c r="P116" t="str">
        <f>_xlfn.XLOOKUP(N116,區隔!$B$3:$B$20,區隔!C$3:C$20,0)</f>
        <v>北部</v>
      </c>
      <c r="Q116" t="str">
        <f>LOOKUP(C116,區隔!$F$3:$F$5,區隔!$E$3:$E$5)</f>
        <v>大坪數</v>
      </c>
      <c r="R116">
        <f t="shared" si="7"/>
        <v>20</v>
      </c>
    </row>
    <row r="117" spans="1:18" x14ac:dyDescent="0.3">
      <c r="A117" s="7" t="s">
        <v>1045</v>
      </c>
      <c r="B117" t="s">
        <v>0</v>
      </c>
      <c r="C117">
        <v>30.5</v>
      </c>
      <c r="D117" t="s">
        <v>223</v>
      </c>
      <c r="E117" t="s">
        <v>286</v>
      </c>
      <c r="F117" t="s">
        <v>1046</v>
      </c>
      <c r="G117" t="s">
        <v>15</v>
      </c>
      <c r="H117" t="str" cm="1">
        <f t="array" ref="H117:I117">_xlfn.TEXTSPLIT(SUBSTITUTE(D117,"樓",""),"/",,,0)</f>
        <v>9</v>
      </c>
      <c r="I117" t="str">
        <v>15</v>
      </c>
      <c r="J117" cm="1">
        <f t="array" ref="J117">GetNumByUnit(E117,"房")</f>
        <v>2</v>
      </c>
      <c r="K117" cm="1">
        <f t="array" ref="K117">GetNumByUnit(E117,"廳")</f>
        <v>1</v>
      </c>
      <c r="L117" cm="1">
        <f t="array" ref="L117">GetNumByUnit(E117,"衛")</f>
        <v>2</v>
      </c>
      <c r="M117" t="str">
        <f t="shared" si="4"/>
        <v xml:space="preserve">台南市北區和緯路二段  </v>
      </c>
      <c r="N117" t="str">
        <f t="shared" si="5"/>
        <v>台南市</v>
      </c>
      <c r="O117">
        <f t="shared" si="6"/>
        <v>32000</v>
      </c>
      <c r="P117" t="str">
        <f>_xlfn.XLOOKUP(N117,區隔!$B$3:$B$20,區隔!C$3:C$20,0)</f>
        <v>南部</v>
      </c>
      <c r="Q117" t="str">
        <f>LOOKUP(C117,區隔!$F$3:$F$5,區隔!$E$3:$E$5)</f>
        <v>大坪數</v>
      </c>
      <c r="R117">
        <f t="shared" si="7"/>
        <v>20</v>
      </c>
    </row>
    <row r="118" spans="1:18" x14ac:dyDescent="0.3">
      <c r="A118" s="7" t="s">
        <v>1047</v>
      </c>
      <c r="B118" t="s">
        <v>0</v>
      </c>
      <c r="C118">
        <v>58.12</v>
      </c>
      <c r="D118" t="s">
        <v>225</v>
      </c>
      <c r="E118" t="s">
        <v>40</v>
      </c>
      <c r="F118" t="s">
        <v>457</v>
      </c>
      <c r="G118" t="s">
        <v>54</v>
      </c>
      <c r="H118" t="str" cm="1">
        <f t="array" ref="H118:I118">_xlfn.TEXTSPLIT(SUBSTITUTE(D118,"樓",""),"/",,,0)</f>
        <v>5</v>
      </c>
      <c r="I118" t="str">
        <v>21</v>
      </c>
      <c r="J118" cm="1">
        <f t="array" ref="J118">GetNumByUnit(E118,"房")</f>
        <v>4</v>
      </c>
      <c r="K118" cm="1">
        <f t="array" ref="K118">GetNumByUnit(E118,"廳")</f>
        <v>2</v>
      </c>
      <c r="L118" cm="1">
        <f t="array" ref="L118">GetNumByUnit(E118,"衛")</f>
        <v>2</v>
      </c>
      <c r="M118" t="str">
        <f t="shared" si="4"/>
        <v xml:space="preserve">新竹市新竹市武陵路  </v>
      </c>
      <c r="N118" t="str">
        <f t="shared" si="5"/>
        <v>新竹市</v>
      </c>
      <c r="O118">
        <f t="shared" si="6"/>
        <v>28000</v>
      </c>
      <c r="P118" t="str">
        <f>_xlfn.XLOOKUP(N118,區隔!$B$3:$B$20,區隔!C$3:C$20,0)</f>
        <v>北部</v>
      </c>
      <c r="Q118" t="str">
        <f>LOOKUP(C118,區隔!$F$3:$F$5,區隔!$E$3:$E$5)</f>
        <v>大坪數</v>
      </c>
      <c r="R118">
        <f t="shared" si="7"/>
        <v>30</v>
      </c>
    </row>
    <row r="119" spans="1:18" x14ac:dyDescent="0.3">
      <c r="A119" s="7" t="s">
        <v>1048</v>
      </c>
      <c r="B119" t="s">
        <v>0</v>
      </c>
      <c r="C119">
        <v>40.020000000000003</v>
      </c>
      <c r="D119" t="s">
        <v>187</v>
      </c>
      <c r="E119" t="s">
        <v>29</v>
      </c>
      <c r="F119" t="s">
        <v>1049</v>
      </c>
      <c r="G119" t="s">
        <v>136</v>
      </c>
      <c r="H119" t="str" cm="1">
        <f t="array" ref="H119:I119">_xlfn.TEXTSPLIT(SUBSTITUTE(D119,"樓",""),"/",,,0)</f>
        <v>7</v>
      </c>
      <c r="I119" t="str">
        <v>8</v>
      </c>
      <c r="J119" cm="1">
        <f t="array" ref="J119">GetNumByUnit(E119,"房")</f>
        <v>3</v>
      </c>
      <c r="K119" cm="1">
        <f t="array" ref="K119">GetNumByUnit(E119,"廳")</f>
        <v>2</v>
      </c>
      <c r="L119" cm="1">
        <f t="array" ref="L119">GetNumByUnit(E119,"衛")</f>
        <v>2</v>
      </c>
      <c r="M119" t="str">
        <f t="shared" si="4"/>
        <v xml:space="preserve">桃園市八德區建國路  </v>
      </c>
      <c r="N119" t="str">
        <f t="shared" si="5"/>
        <v>桃園市</v>
      </c>
      <c r="O119">
        <f t="shared" si="6"/>
        <v>19000</v>
      </c>
      <c r="P119" t="str">
        <f>_xlfn.XLOOKUP(N119,區隔!$B$3:$B$20,區隔!C$3:C$20,0)</f>
        <v>北部</v>
      </c>
      <c r="Q119" t="str">
        <f>LOOKUP(C119,區隔!$F$3:$F$5,區隔!$E$3:$E$5)</f>
        <v>大坪數</v>
      </c>
      <c r="R119">
        <f t="shared" si="7"/>
        <v>10</v>
      </c>
    </row>
    <row r="120" spans="1:18" x14ac:dyDescent="0.3">
      <c r="A120" s="7" t="s">
        <v>1050</v>
      </c>
      <c r="B120" t="s">
        <v>0</v>
      </c>
      <c r="C120">
        <v>22.95</v>
      </c>
      <c r="D120" t="s">
        <v>458</v>
      </c>
      <c r="E120" t="s">
        <v>35</v>
      </c>
      <c r="F120" t="s">
        <v>575</v>
      </c>
      <c r="G120" t="s">
        <v>116</v>
      </c>
      <c r="H120" t="str" cm="1">
        <f t="array" ref="H120:I120">_xlfn.TEXTSPLIT(SUBSTITUTE(D120,"樓",""),"/",,,0)</f>
        <v>9</v>
      </c>
      <c r="I120" t="str">
        <v>13</v>
      </c>
      <c r="J120" cm="1">
        <f t="array" ref="J120">GetNumByUnit(E120,"房")</f>
        <v>2</v>
      </c>
      <c r="K120" cm="1">
        <f t="array" ref="K120">GetNumByUnit(E120,"廳")</f>
        <v>2</v>
      </c>
      <c r="L120" cm="1">
        <f t="array" ref="L120">GetNumByUnit(E120,"衛")</f>
        <v>1</v>
      </c>
      <c r="M120" t="str">
        <f t="shared" si="4"/>
        <v xml:space="preserve">新北市五股區成泰路一段  </v>
      </c>
      <c r="N120" t="str">
        <f t="shared" si="5"/>
        <v>新北市</v>
      </c>
      <c r="O120">
        <f t="shared" si="6"/>
        <v>23000</v>
      </c>
      <c r="P120" t="str">
        <f>_xlfn.XLOOKUP(N120,區隔!$B$3:$B$20,區隔!C$3:C$20,0)</f>
        <v>北部</v>
      </c>
      <c r="Q120" t="str">
        <f>LOOKUP(C120,區隔!$F$3:$F$5,區隔!$E$3:$E$5)</f>
        <v>中坪數</v>
      </c>
      <c r="R120">
        <f t="shared" si="7"/>
        <v>20</v>
      </c>
    </row>
    <row r="121" spans="1:18" x14ac:dyDescent="0.3">
      <c r="A121" s="7" t="s">
        <v>202</v>
      </c>
      <c r="B121" t="s">
        <v>0</v>
      </c>
      <c r="C121">
        <v>13.98</v>
      </c>
      <c r="D121" t="s">
        <v>49</v>
      </c>
      <c r="E121" t="s">
        <v>30</v>
      </c>
      <c r="F121" t="s">
        <v>201</v>
      </c>
      <c r="G121" t="s">
        <v>203</v>
      </c>
      <c r="H121" t="str" cm="1">
        <f t="array" ref="H121:I121">_xlfn.TEXTSPLIT(SUBSTITUTE(D121,"樓",""),"/",,,0)</f>
        <v>4</v>
      </c>
      <c r="I121" t="str">
        <v>12</v>
      </c>
      <c r="J121" cm="1">
        <f t="array" ref="J121">GetNumByUnit(E121,"房")</f>
        <v>1</v>
      </c>
      <c r="K121" cm="1">
        <f t="array" ref="K121">GetNumByUnit(E121,"廳")</f>
        <v>1</v>
      </c>
      <c r="L121" cm="1">
        <f t="array" ref="L121">GetNumByUnit(E121,"衛")</f>
        <v>1</v>
      </c>
      <c r="M121" t="str">
        <f t="shared" si="4"/>
        <v xml:space="preserve">台北市大同區蘭州街  </v>
      </c>
      <c r="N121" t="str">
        <f t="shared" si="5"/>
        <v>台北市</v>
      </c>
      <c r="O121">
        <f t="shared" si="6"/>
        <v>37000</v>
      </c>
      <c r="P121" t="str">
        <f>_xlfn.XLOOKUP(N121,區隔!$B$3:$B$20,區隔!C$3:C$20,0)</f>
        <v>北部</v>
      </c>
      <c r="Q121" t="str">
        <f>LOOKUP(C121,區隔!$F$3:$F$5,區隔!$E$3:$E$5)</f>
        <v>小坪數</v>
      </c>
      <c r="R121">
        <f t="shared" si="7"/>
        <v>20</v>
      </c>
    </row>
    <row r="122" spans="1:18" x14ac:dyDescent="0.3">
      <c r="A122" s="7" t="s">
        <v>1051</v>
      </c>
      <c r="B122" t="s">
        <v>0</v>
      </c>
      <c r="C122">
        <v>46.9</v>
      </c>
      <c r="D122" t="s">
        <v>65</v>
      </c>
      <c r="E122" t="s">
        <v>29</v>
      </c>
      <c r="F122" t="s">
        <v>208</v>
      </c>
      <c r="G122" t="s">
        <v>1</v>
      </c>
      <c r="H122" t="str" cm="1">
        <f t="array" ref="H122:I122">_xlfn.TEXTSPLIT(SUBSTITUTE(D122,"樓",""),"/",,,0)</f>
        <v>9</v>
      </c>
      <c r="I122" t="str">
        <v>12</v>
      </c>
      <c r="J122" cm="1">
        <f t="array" ref="J122">GetNumByUnit(E122,"房")</f>
        <v>3</v>
      </c>
      <c r="K122" cm="1">
        <f t="array" ref="K122">GetNumByUnit(E122,"廳")</f>
        <v>2</v>
      </c>
      <c r="L122" cm="1">
        <f t="array" ref="L122">GetNumByUnit(E122,"衛")</f>
        <v>2</v>
      </c>
      <c r="M122" t="str">
        <f t="shared" si="4"/>
        <v xml:space="preserve">台北市信義區基隆路一段  </v>
      </c>
      <c r="N122" t="str">
        <f t="shared" si="5"/>
        <v>台北市</v>
      </c>
      <c r="O122">
        <f t="shared" si="6"/>
        <v>55000</v>
      </c>
      <c r="P122" t="str">
        <f>_xlfn.XLOOKUP(N122,區隔!$B$3:$B$20,區隔!C$3:C$20,0)</f>
        <v>北部</v>
      </c>
      <c r="Q122" t="str">
        <f>LOOKUP(C122,區隔!$F$3:$F$5,區隔!$E$3:$E$5)</f>
        <v>大坪數</v>
      </c>
      <c r="R122">
        <f t="shared" si="7"/>
        <v>20</v>
      </c>
    </row>
    <row r="123" spans="1:18" x14ac:dyDescent="0.3">
      <c r="A123" s="7" t="s">
        <v>1052</v>
      </c>
      <c r="B123" t="s">
        <v>0</v>
      </c>
      <c r="C123">
        <v>53.81</v>
      </c>
      <c r="D123" t="s">
        <v>67</v>
      </c>
      <c r="E123" t="s">
        <v>47</v>
      </c>
      <c r="F123" t="s">
        <v>162</v>
      </c>
      <c r="G123" t="s">
        <v>1053</v>
      </c>
      <c r="H123" t="str" cm="1">
        <f t="array" ref="H123:I123">_xlfn.TEXTSPLIT(SUBSTITUTE(D123,"樓",""),"/",,,0)</f>
        <v>7</v>
      </c>
      <c r="I123" t="str">
        <v>14</v>
      </c>
      <c r="J123" cm="1">
        <f t="array" ref="J123">GetNumByUnit(E123,"房")</f>
        <v>1</v>
      </c>
      <c r="K123" cm="1">
        <f t="array" ref="K123">GetNumByUnit(E123,"廳")</f>
        <v>2</v>
      </c>
      <c r="L123" cm="1">
        <f t="array" ref="L123">GetNumByUnit(E123,"衛")</f>
        <v>1</v>
      </c>
      <c r="M123" t="str">
        <f t="shared" si="4"/>
        <v xml:space="preserve">台北市大安區信義路三段  </v>
      </c>
      <c r="N123" t="str">
        <f t="shared" si="5"/>
        <v>台北市</v>
      </c>
      <c r="O123">
        <f t="shared" si="6"/>
        <v>118000</v>
      </c>
      <c r="P123" t="str">
        <f>_xlfn.XLOOKUP(N123,區隔!$B$3:$B$20,區隔!C$3:C$20,0)</f>
        <v>北部</v>
      </c>
      <c r="Q123" t="str">
        <f>LOOKUP(C123,區隔!$F$3:$F$5,區隔!$E$3:$E$5)</f>
        <v>大坪數</v>
      </c>
      <c r="R123">
        <f t="shared" si="7"/>
        <v>20</v>
      </c>
    </row>
    <row r="124" spans="1:18" x14ac:dyDescent="0.3">
      <c r="A124" s="7" t="s">
        <v>1054</v>
      </c>
      <c r="B124" t="s">
        <v>0</v>
      </c>
      <c r="C124">
        <v>44.9</v>
      </c>
      <c r="D124" t="s">
        <v>199</v>
      </c>
      <c r="E124" t="s">
        <v>29</v>
      </c>
      <c r="F124" t="s">
        <v>477</v>
      </c>
      <c r="G124" t="s">
        <v>115</v>
      </c>
      <c r="H124" t="str" cm="1">
        <f t="array" ref="H124:I124">_xlfn.TEXTSPLIT(SUBSTITUTE(D124,"樓",""),"/",,,0)</f>
        <v>7</v>
      </c>
      <c r="I124" t="str">
        <v>15</v>
      </c>
      <c r="J124" cm="1">
        <f t="array" ref="J124">GetNumByUnit(E124,"房")</f>
        <v>3</v>
      </c>
      <c r="K124" cm="1">
        <f t="array" ref="K124">GetNumByUnit(E124,"廳")</f>
        <v>2</v>
      </c>
      <c r="L124" cm="1">
        <f t="array" ref="L124">GetNumByUnit(E124,"衛")</f>
        <v>2</v>
      </c>
      <c r="M124" t="str">
        <f t="shared" si="4"/>
        <v xml:space="preserve">台中市北屯區敦富三街  </v>
      </c>
      <c r="N124" t="str">
        <f t="shared" si="5"/>
        <v>台中市</v>
      </c>
      <c r="O124">
        <f t="shared" si="6"/>
        <v>30000</v>
      </c>
      <c r="P124" t="str">
        <f>_xlfn.XLOOKUP(N124,區隔!$B$3:$B$20,區隔!C$3:C$20,0)</f>
        <v>中部</v>
      </c>
      <c r="Q124" t="str">
        <f>LOOKUP(C124,區隔!$F$3:$F$5,區隔!$E$3:$E$5)</f>
        <v>大坪數</v>
      </c>
      <c r="R124">
        <f t="shared" si="7"/>
        <v>20</v>
      </c>
    </row>
    <row r="125" spans="1:18" x14ac:dyDescent="0.3">
      <c r="A125" s="7" t="s">
        <v>1055</v>
      </c>
      <c r="B125" t="s">
        <v>0</v>
      </c>
      <c r="C125">
        <v>46.04</v>
      </c>
      <c r="D125" t="s">
        <v>85</v>
      </c>
      <c r="E125" t="s">
        <v>205</v>
      </c>
      <c r="F125" t="s">
        <v>1056</v>
      </c>
      <c r="G125" t="s">
        <v>119</v>
      </c>
      <c r="H125" t="str" cm="1">
        <f t="array" ref="H125:I125">_xlfn.TEXTSPLIT(SUBSTITUTE(D125,"樓",""),"/",,,0)</f>
        <v>6</v>
      </c>
      <c r="I125" t="str">
        <v>7</v>
      </c>
      <c r="J125" cm="1">
        <f t="array" ref="J125">GetNumByUnit(E125,"房")</f>
        <v>3</v>
      </c>
      <c r="K125" cm="1">
        <f t="array" ref="K125">GetNumByUnit(E125,"廳")</f>
        <v>2</v>
      </c>
      <c r="L125" cm="1">
        <f t="array" ref="L125">GetNumByUnit(E125,"衛")</f>
        <v>2</v>
      </c>
      <c r="M125" t="str">
        <f t="shared" si="4"/>
        <v xml:space="preserve"> 台北市松山區八德路二段  </v>
      </c>
      <c r="N125" t="str">
        <f t="shared" si="5"/>
        <v>台北市</v>
      </c>
      <c r="O125">
        <f t="shared" si="6"/>
        <v>75000</v>
      </c>
      <c r="P125" t="str">
        <f>_xlfn.XLOOKUP(N125,區隔!$B$3:$B$20,區隔!C$3:C$20,0)</f>
        <v>北部</v>
      </c>
      <c r="Q125" t="str">
        <f>LOOKUP(C125,區隔!$F$3:$F$5,區隔!$E$3:$E$5)</f>
        <v>大坪數</v>
      </c>
      <c r="R125">
        <f t="shared" si="7"/>
        <v>10</v>
      </c>
    </row>
    <row r="126" spans="1:18" x14ac:dyDescent="0.3">
      <c r="A126" s="7" t="s">
        <v>1057</v>
      </c>
      <c r="B126" t="s">
        <v>0</v>
      </c>
      <c r="C126">
        <v>43.33</v>
      </c>
      <c r="D126" t="s">
        <v>42</v>
      </c>
      <c r="E126" t="s">
        <v>29</v>
      </c>
      <c r="F126" t="s">
        <v>118</v>
      </c>
      <c r="G126" t="s">
        <v>4</v>
      </c>
      <c r="H126" t="str" cm="1">
        <f t="array" ref="H126:I126">_xlfn.TEXTSPLIT(SUBSTITUTE(D126,"樓",""),"/",,,0)</f>
        <v>10</v>
      </c>
      <c r="I126" t="str">
        <v>12</v>
      </c>
      <c r="J126" cm="1">
        <f t="array" ref="J126">GetNumByUnit(E126,"房")</f>
        <v>3</v>
      </c>
      <c r="K126" cm="1">
        <f t="array" ref="K126">GetNumByUnit(E126,"廳")</f>
        <v>2</v>
      </c>
      <c r="L126" cm="1">
        <f t="array" ref="L126">GetNumByUnit(E126,"衛")</f>
        <v>2</v>
      </c>
      <c r="M126" t="str">
        <f t="shared" si="4"/>
        <v xml:space="preserve">台北市松山區敦化北路  </v>
      </c>
      <c r="N126" t="str">
        <f t="shared" si="5"/>
        <v>台北市</v>
      </c>
      <c r="O126">
        <f t="shared" si="6"/>
        <v>68000</v>
      </c>
      <c r="P126" t="str">
        <f>_xlfn.XLOOKUP(N126,區隔!$B$3:$B$20,區隔!C$3:C$20,0)</f>
        <v>北部</v>
      </c>
      <c r="Q126" t="str">
        <f>LOOKUP(C126,區隔!$F$3:$F$5,區隔!$E$3:$E$5)</f>
        <v>大坪數</v>
      </c>
      <c r="R126">
        <f t="shared" si="7"/>
        <v>20</v>
      </c>
    </row>
    <row r="127" spans="1:18" x14ac:dyDescent="0.3">
      <c r="A127" s="7" t="s">
        <v>272</v>
      </c>
      <c r="B127" t="s">
        <v>0</v>
      </c>
      <c r="C127">
        <v>26.3</v>
      </c>
      <c r="D127" t="s">
        <v>177</v>
      </c>
      <c r="E127" t="s">
        <v>141</v>
      </c>
      <c r="F127" t="s">
        <v>113</v>
      </c>
      <c r="G127" t="s">
        <v>19</v>
      </c>
      <c r="H127" t="str" cm="1">
        <f t="array" ref="H127:I127">_xlfn.TEXTSPLIT(SUBSTITUTE(D127,"樓",""),"/",,,0)</f>
        <v>8</v>
      </c>
      <c r="I127" t="str">
        <v>13</v>
      </c>
      <c r="J127" cm="1">
        <f t="array" ref="J127">GetNumByUnit(E127,"房")</f>
        <v>2</v>
      </c>
      <c r="K127" cm="1">
        <f t="array" ref="K127">GetNumByUnit(E127,"廳")</f>
        <v>2</v>
      </c>
      <c r="L127" cm="1">
        <f t="array" ref="L127">GetNumByUnit(E127,"衛")</f>
        <v>1</v>
      </c>
      <c r="M127" t="str">
        <f t="shared" si="4"/>
        <v xml:space="preserve">台北市中正區忠孝東路一段  </v>
      </c>
      <c r="N127" t="str">
        <f t="shared" si="5"/>
        <v>台北市</v>
      </c>
      <c r="O127">
        <f t="shared" si="6"/>
        <v>65000</v>
      </c>
      <c r="P127" t="str">
        <f>_xlfn.XLOOKUP(N127,區隔!$B$3:$B$20,區隔!C$3:C$20,0)</f>
        <v>北部</v>
      </c>
      <c r="Q127" t="str">
        <f>LOOKUP(C127,區隔!$F$3:$F$5,區隔!$E$3:$E$5)</f>
        <v>中坪數</v>
      </c>
      <c r="R127">
        <f t="shared" si="7"/>
        <v>20</v>
      </c>
    </row>
    <row r="128" spans="1:18" x14ac:dyDescent="0.3">
      <c r="A128" s="7" t="s">
        <v>1058</v>
      </c>
      <c r="B128" t="s">
        <v>0</v>
      </c>
      <c r="C128">
        <v>12.01</v>
      </c>
      <c r="D128" t="s">
        <v>427</v>
      </c>
      <c r="E128" t="s">
        <v>30</v>
      </c>
      <c r="F128" t="s">
        <v>1059</v>
      </c>
      <c r="G128" t="s">
        <v>12</v>
      </c>
      <c r="H128" t="str" cm="1">
        <f t="array" ref="H128:I128">_xlfn.TEXTSPLIT(SUBSTITUTE(D128,"樓",""),"/",,,0)</f>
        <v>12</v>
      </c>
      <c r="I128" t="str">
        <v>24</v>
      </c>
      <c r="J128" cm="1">
        <f t="array" ref="J128">GetNumByUnit(E128,"房")</f>
        <v>1</v>
      </c>
      <c r="K128" cm="1">
        <f t="array" ref="K128">GetNumByUnit(E128,"廳")</f>
        <v>1</v>
      </c>
      <c r="L128" cm="1">
        <f t="array" ref="L128">GetNumByUnit(E128,"衛")</f>
        <v>1</v>
      </c>
      <c r="M128" t="str">
        <f t="shared" si="4"/>
        <v xml:space="preserve">新北市板橋區新府路  </v>
      </c>
      <c r="N128" t="str">
        <f t="shared" si="5"/>
        <v>新北市</v>
      </c>
      <c r="O128">
        <f t="shared" si="6"/>
        <v>22000</v>
      </c>
      <c r="P128" t="str">
        <f>_xlfn.XLOOKUP(N128,區隔!$B$3:$B$20,區隔!C$3:C$20,0)</f>
        <v>北部</v>
      </c>
      <c r="Q128" t="str">
        <f>LOOKUP(C128,區隔!$F$3:$F$5,區隔!$E$3:$E$5)</f>
        <v>小坪數</v>
      </c>
      <c r="R128">
        <f t="shared" si="7"/>
        <v>30</v>
      </c>
    </row>
    <row r="129" spans="1:18" x14ac:dyDescent="0.3">
      <c r="A129" s="7" t="s">
        <v>1060</v>
      </c>
      <c r="B129" t="s">
        <v>0</v>
      </c>
      <c r="C129">
        <v>26.46</v>
      </c>
      <c r="D129" t="s">
        <v>37</v>
      </c>
      <c r="E129" t="s">
        <v>29</v>
      </c>
      <c r="F129" t="s">
        <v>1061</v>
      </c>
      <c r="G129" t="s">
        <v>326</v>
      </c>
      <c r="H129" t="str" cm="1">
        <f t="array" ref="H129:I129">_xlfn.TEXTSPLIT(SUBSTITUTE(D129,"樓",""),"/",,,0)</f>
        <v>5</v>
      </c>
      <c r="I129" t="str">
        <v>5</v>
      </c>
      <c r="J129" cm="1">
        <f t="array" ref="J129">GetNumByUnit(E129,"房")</f>
        <v>3</v>
      </c>
      <c r="K129" cm="1">
        <f t="array" ref="K129">GetNumByUnit(E129,"廳")</f>
        <v>2</v>
      </c>
      <c r="L129" cm="1">
        <f t="array" ref="L129">GetNumByUnit(E129,"衛")</f>
        <v>2</v>
      </c>
      <c r="M129" t="str">
        <f t="shared" si="4"/>
        <v xml:space="preserve">新北市中和區自強路  </v>
      </c>
      <c r="N129" t="str">
        <f t="shared" si="5"/>
        <v>新北市</v>
      </c>
      <c r="O129">
        <f t="shared" si="6"/>
        <v>19800</v>
      </c>
      <c r="P129" t="str">
        <f>_xlfn.XLOOKUP(N129,區隔!$B$3:$B$20,區隔!C$3:C$20,0)</f>
        <v>北部</v>
      </c>
      <c r="Q129" t="str">
        <f>LOOKUP(C129,區隔!$F$3:$F$5,區隔!$E$3:$E$5)</f>
        <v>中坪數</v>
      </c>
      <c r="R129">
        <f t="shared" si="7"/>
        <v>10</v>
      </c>
    </row>
    <row r="130" spans="1:18" x14ac:dyDescent="0.3">
      <c r="A130" s="7" t="s">
        <v>1062</v>
      </c>
      <c r="B130" t="s">
        <v>0</v>
      </c>
      <c r="C130">
        <v>31.86</v>
      </c>
      <c r="D130" t="s">
        <v>53</v>
      </c>
      <c r="E130" t="s">
        <v>194</v>
      </c>
      <c r="F130" t="s">
        <v>1063</v>
      </c>
      <c r="G130" t="s">
        <v>50</v>
      </c>
      <c r="H130" t="str" cm="1">
        <f t="array" ref="H130:I130">_xlfn.TEXTSPLIT(SUBSTITUTE(D130,"樓",""),"/",,,0)</f>
        <v>2</v>
      </c>
      <c r="I130" t="str">
        <v>5</v>
      </c>
      <c r="J130" cm="1">
        <f t="array" ref="J130">GetNumByUnit(E130,"房")</f>
        <v>3</v>
      </c>
      <c r="K130" cm="1">
        <f t="array" ref="K130">GetNumByUnit(E130,"廳")</f>
        <v>2</v>
      </c>
      <c r="L130" cm="1">
        <f t="array" ref="L130">GetNumByUnit(E130,"衛")</f>
        <v>5</v>
      </c>
      <c r="M130" t="str">
        <f t="shared" si="4"/>
        <v xml:space="preserve">新北市三重區永福街  </v>
      </c>
      <c r="N130" t="str">
        <f t="shared" si="5"/>
        <v>新北市</v>
      </c>
      <c r="O130">
        <f t="shared" si="6"/>
        <v>27000</v>
      </c>
      <c r="P130" t="str">
        <f>_xlfn.XLOOKUP(N130,區隔!$B$3:$B$20,區隔!C$3:C$20,0)</f>
        <v>北部</v>
      </c>
      <c r="Q130" t="str">
        <f>LOOKUP(C130,區隔!$F$3:$F$5,區隔!$E$3:$E$5)</f>
        <v>大坪數</v>
      </c>
      <c r="R130">
        <f t="shared" si="7"/>
        <v>10</v>
      </c>
    </row>
    <row r="131" spans="1:18" x14ac:dyDescent="0.3">
      <c r="A131" s="7" t="s">
        <v>1064</v>
      </c>
      <c r="B131" t="s">
        <v>0</v>
      </c>
      <c r="C131">
        <v>28.94</v>
      </c>
      <c r="D131" t="s">
        <v>38</v>
      </c>
      <c r="E131" t="s">
        <v>107</v>
      </c>
      <c r="F131" t="s">
        <v>227</v>
      </c>
      <c r="G131" t="s">
        <v>22</v>
      </c>
      <c r="H131" t="str" cm="1">
        <f t="array" ref="H131:I131">_xlfn.TEXTSPLIT(SUBSTITUTE(D131,"樓",""),"/",,,0)</f>
        <v>1</v>
      </c>
      <c r="I131" t="str">
        <v>4</v>
      </c>
      <c r="J131" cm="1">
        <f t="array" ref="J131">GetNumByUnit(E131,"房")</f>
        <v>4</v>
      </c>
      <c r="K131" cm="1">
        <f t="array" ref="K131">GetNumByUnit(E131,"廳")</f>
        <v>1</v>
      </c>
      <c r="L131" cm="1">
        <f t="array" ref="L131">GetNumByUnit(E131,"衛")</f>
        <v>1</v>
      </c>
      <c r="M131" t="str">
        <f t="shared" ref="M131:M194" si="8">IFERROR(_xlfn.TEXTAFTER(F131,"/",LEN(F131)-LEN(SUBSTITUTE(F131,"/",""))),F131)</f>
        <v xml:space="preserve">台北市松山區新東街  </v>
      </c>
      <c r="N131" t="str">
        <f t="shared" ref="N131:N194" si="9">TRIM(LEFT(M131,MIN(IFERROR(SEARCH("縣",M131),999),IFERROR(SEARCH("市",M131),999))))</f>
        <v>台北市</v>
      </c>
      <c r="O131">
        <f t="shared" ref="O131:O194" si="10">VALUE(SUBSTITUTE(SUBSTITUTE(G131,",", ""),"元/月",""))</f>
        <v>45000</v>
      </c>
      <c r="P131" t="str">
        <f>_xlfn.XLOOKUP(N131,區隔!$B$3:$B$20,區隔!C$3:C$20,0)</f>
        <v>北部</v>
      </c>
      <c r="Q131" t="str">
        <f>LOOKUP(C131,區隔!$F$3:$F$5,區隔!$E$3:$E$5)</f>
        <v>中坪數</v>
      </c>
      <c r="R131">
        <f t="shared" ref="R131:R194" si="11">_xlfn.XLOOKUP(CEILING(I131,10),_xlfn.SEQUENCE(100,,10,10),_xlfn.SEQUENCE(100,,10,10))</f>
        <v>10</v>
      </c>
    </row>
    <row r="132" spans="1:18" x14ac:dyDescent="0.3">
      <c r="A132" s="7" t="s">
        <v>1065</v>
      </c>
      <c r="B132" t="s">
        <v>0</v>
      </c>
      <c r="C132">
        <v>90.91</v>
      </c>
      <c r="D132" t="s">
        <v>1066</v>
      </c>
      <c r="E132" t="s">
        <v>1067</v>
      </c>
      <c r="F132" t="s">
        <v>1068</v>
      </c>
      <c r="G132" t="s">
        <v>132</v>
      </c>
      <c r="H132" t="str" cm="1">
        <f t="array" ref="H132:I132">_xlfn.TEXTSPLIT(SUBSTITUTE(D132,"樓",""),"/",,,0)</f>
        <v>1-2</v>
      </c>
      <c r="I132" t="str">
        <v>7</v>
      </c>
      <c r="J132" cm="1">
        <f t="array" ref="J132">GetNumByUnit(E132,"房")</f>
        <v>6</v>
      </c>
      <c r="K132" cm="1">
        <f t="array" ref="K132">GetNumByUnit(E132,"廳")</f>
        <v>3</v>
      </c>
      <c r="L132" cm="1">
        <f t="array" ref="L132">GetNumByUnit(E132,"衛")</f>
        <v>2</v>
      </c>
      <c r="M132" t="str">
        <f t="shared" si="8"/>
        <v xml:space="preserve">新北市板橋區南雅南路二段  </v>
      </c>
      <c r="N132" t="str">
        <f t="shared" si="9"/>
        <v>新北市</v>
      </c>
      <c r="O132">
        <f t="shared" si="10"/>
        <v>120000</v>
      </c>
      <c r="P132" t="str">
        <f>_xlfn.XLOOKUP(N132,區隔!$B$3:$B$20,區隔!C$3:C$20,0)</f>
        <v>北部</v>
      </c>
      <c r="Q132" t="str">
        <f>LOOKUP(C132,區隔!$F$3:$F$5,區隔!$E$3:$E$5)</f>
        <v>大坪數</v>
      </c>
      <c r="R132">
        <f t="shared" si="11"/>
        <v>10</v>
      </c>
    </row>
    <row r="133" spans="1:18" x14ac:dyDescent="0.3">
      <c r="A133" s="7" t="s">
        <v>447</v>
      </c>
      <c r="B133" t="s">
        <v>0</v>
      </c>
      <c r="C133">
        <v>38.86</v>
      </c>
      <c r="D133" t="s">
        <v>444</v>
      </c>
      <c r="E133" t="s">
        <v>27</v>
      </c>
      <c r="F133" t="s">
        <v>402</v>
      </c>
      <c r="G133" t="s">
        <v>18</v>
      </c>
      <c r="H133" t="str" cm="1">
        <f t="array" ref="H133:I133">_xlfn.TEXTSPLIT(SUBSTITUTE(D133,"樓",""),"/",,,0)</f>
        <v>16</v>
      </c>
      <c r="I133" t="str">
        <v>26</v>
      </c>
      <c r="J133" cm="1">
        <f t="array" ref="J133">GetNumByUnit(E133,"房")</f>
        <v>2</v>
      </c>
      <c r="K133" cm="1">
        <f t="array" ref="K133">GetNumByUnit(E133,"廳")</f>
        <v>2</v>
      </c>
      <c r="L133" cm="1">
        <f t="array" ref="L133">GetNumByUnit(E133,"衛")</f>
        <v>2</v>
      </c>
      <c r="M133" t="str">
        <f t="shared" si="8"/>
        <v xml:space="preserve">新北市淡水區淡金路二段  </v>
      </c>
      <c r="N133" t="str">
        <f t="shared" si="9"/>
        <v>新北市</v>
      </c>
      <c r="O133">
        <f t="shared" si="10"/>
        <v>25000</v>
      </c>
      <c r="P133" t="str">
        <f>_xlfn.XLOOKUP(N133,區隔!$B$3:$B$20,區隔!C$3:C$20,0)</f>
        <v>北部</v>
      </c>
      <c r="Q133" t="str">
        <f>LOOKUP(C133,區隔!$F$3:$F$5,區隔!$E$3:$E$5)</f>
        <v>大坪數</v>
      </c>
      <c r="R133">
        <f t="shared" si="11"/>
        <v>30</v>
      </c>
    </row>
    <row r="134" spans="1:18" x14ac:dyDescent="0.3">
      <c r="A134" s="7" t="s">
        <v>1069</v>
      </c>
      <c r="B134" t="s">
        <v>0</v>
      </c>
      <c r="C134">
        <v>77.260000000000005</v>
      </c>
      <c r="D134" t="s">
        <v>1070</v>
      </c>
      <c r="E134" t="s">
        <v>40</v>
      </c>
      <c r="F134" t="s">
        <v>1071</v>
      </c>
      <c r="G134" t="s">
        <v>4</v>
      </c>
      <c r="H134" t="str" cm="1">
        <f t="array" ref="H134:I134">_xlfn.TEXTSPLIT(SUBSTITUTE(D134,"樓",""),"/",,,0)</f>
        <v>13</v>
      </c>
      <c r="I134" t="str">
        <v>21</v>
      </c>
      <c r="J134" cm="1">
        <f t="array" ref="J134">GetNumByUnit(E134,"房")</f>
        <v>4</v>
      </c>
      <c r="K134" cm="1">
        <f t="array" ref="K134">GetNumByUnit(E134,"廳")</f>
        <v>2</v>
      </c>
      <c r="L134" cm="1">
        <f t="array" ref="L134">GetNumByUnit(E134,"衛")</f>
        <v>2</v>
      </c>
      <c r="M134" t="str">
        <f t="shared" si="8"/>
        <v xml:space="preserve">台中市南屯區益昌六街  </v>
      </c>
      <c r="N134" t="str">
        <f t="shared" si="9"/>
        <v>台中市</v>
      </c>
      <c r="O134">
        <f t="shared" si="10"/>
        <v>68000</v>
      </c>
      <c r="P134" t="str">
        <f>_xlfn.XLOOKUP(N134,區隔!$B$3:$B$20,區隔!C$3:C$20,0)</f>
        <v>中部</v>
      </c>
      <c r="Q134" t="str">
        <f>LOOKUP(C134,區隔!$F$3:$F$5,區隔!$E$3:$E$5)</f>
        <v>大坪數</v>
      </c>
      <c r="R134">
        <f t="shared" si="11"/>
        <v>30</v>
      </c>
    </row>
    <row r="135" spans="1:18" x14ac:dyDescent="0.3">
      <c r="A135" s="7" t="s">
        <v>1072</v>
      </c>
      <c r="B135" t="s">
        <v>0</v>
      </c>
      <c r="C135">
        <v>53.96</v>
      </c>
      <c r="D135" t="s">
        <v>176</v>
      </c>
      <c r="E135" t="s">
        <v>29</v>
      </c>
      <c r="F135" t="s">
        <v>24</v>
      </c>
      <c r="G135" t="s">
        <v>59</v>
      </c>
      <c r="H135" t="str" cm="1">
        <f t="array" ref="H135:I135">_xlfn.TEXTSPLIT(SUBSTITUTE(D135,"樓",""),"/",,,0)</f>
        <v>10</v>
      </c>
      <c r="I135" t="str">
        <v>11</v>
      </c>
      <c r="J135" cm="1">
        <f t="array" ref="J135">GetNumByUnit(E135,"房")</f>
        <v>3</v>
      </c>
      <c r="K135" cm="1">
        <f t="array" ref="K135">GetNumByUnit(E135,"廳")</f>
        <v>2</v>
      </c>
      <c r="L135" cm="1">
        <f t="array" ref="L135">GetNumByUnit(E135,"衛")</f>
        <v>2</v>
      </c>
      <c r="M135" t="str">
        <f t="shared" si="8"/>
        <v xml:space="preserve">台北市內湖區民權東路六段  </v>
      </c>
      <c r="N135" t="str">
        <f t="shared" si="9"/>
        <v>台北市</v>
      </c>
      <c r="O135">
        <f t="shared" si="10"/>
        <v>60000</v>
      </c>
      <c r="P135" t="str">
        <f>_xlfn.XLOOKUP(N135,區隔!$B$3:$B$20,區隔!C$3:C$20,0)</f>
        <v>北部</v>
      </c>
      <c r="Q135" t="str">
        <f>LOOKUP(C135,區隔!$F$3:$F$5,區隔!$E$3:$E$5)</f>
        <v>大坪數</v>
      </c>
      <c r="R135">
        <f t="shared" si="11"/>
        <v>20</v>
      </c>
    </row>
    <row r="136" spans="1:18" x14ac:dyDescent="0.3">
      <c r="A136" s="7" t="s">
        <v>1073</v>
      </c>
      <c r="B136" t="s">
        <v>0</v>
      </c>
      <c r="C136">
        <v>39.08</v>
      </c>
      <c r="D136" t="s">
        <v>135</v>
      </c>
      <c r="E136" t="s">
        <v>194</v>
      </c>
      <c r="F136" t="s">
        <v>1074</v>
      </c>
      <c r="G136" t="s">
        <v>185</v>
      </c>
      <c r="H136" t="str" cm="1">
        <f t="array" ref="H136:I136">_xlfn.TEXTSPLIT(SUBSTITUTE(D136,"樓",""),"/",,,0)</f>
        <v>1-2</v>
      </c>
      <c r="I136" t="str">
        <v>2</v>
      </c>
      <c r="J136" cm="1">
        <f t="array" ref="J136">GetNumByUnit(E136,"房")</f>
        <v>3</v>
      </c>
      <c r="K136" cm="1">
        <f t="array" ref="K136">GetNumByUnit(E136,"廳")</f>
        <v>2</v>
      </c>
      <c r="L136" cm="1">
        <f t="array" ref="L136">GetNumByUnit(E136,"衛")</f>
        <v>5</v>
      </c>
      <c r="M136" t="str">
        <f t="shared" si="8"/>
        <v xml:space="preserve">新竹市新竹市瑞光街  </v>
      </c>
      <c r="N136" t="str">
        <f t="shared" si="9"/>
        <v>新竹市</v>
      </c>
      <c r="O136">
        <f t="shared" si="10"/>
        <v>20000</v>
      </c>
      <c r="P136" t="str">
        <f>_xlfn.XLOOKUP(N136,區隔!$B$3:$B$20,區隔!C$3:C$20,0)</f>
        <v>北部</v>
      </c>
      <c r="Q136" t="str">
        <f>LOOKUP(C136,區隔!$F$3:$F$5,區隔!$E$3:$E$5)</f>
        <v>大坪數</v>
      </c>
      <c r="R136">
        <f t="shared" si="11"/>
        <v>10</v>
      </c>
    </row>
    <row r="137" spans="1:18" x14ac:dyDescent="0.3">
      <c r="A137" s="7" t="s">
        <v>1075</v>
      </c>
      <c r="B137" t="s">
        <v>0</v>
      </c>
      <c r="C137">
        <v>20.329999999999998</v>
      </c>
      <c r="D137" t="s">
        <v>143</v>
      </c>
      <c r="E137" t="s">
        <v>47</v>
      </c>
      <c r="F137" t="s">
        <v>127</v>
      </c>
      <c r="G137" t="s">
        <v>15</v>
      </c>
      <c r="H137" t="str" cm="1">
        <f t="array" ref="H137:I137">_xlfn.TEXTSPLIT(SUBSTITUTE(D137,"樓",""),"/",,,0)</f>
        <v>10</v>
      </c>
      <c r="I137" t="str">
        <v>19</v>
      </c>
      <c r="J137" cm="1">
        <f t="array" ref="J137">GetNumByUnit(E137,"房")</f>
        <v>1</v>
      </c>
      <c r="K137" cm="1">
        <f t="array" ref="K137">GetNumByUnit(E137,"廳")</f>
        <v>2</v>
      </c>
      <c r="L137" cm="1">
        <f t="array" ref="L137">GetNumByUnit(E137,"衛")</f>
        <v>1</v>
      </c>
      <c r="M137" t="str">
        <f t="shared" si="8"/>
        <v xml:space="preserve">台北市信義區信義路五段  </v>
      </c>
      <c r="N137" t="str">
        <f t="shared" si="9"/>
        <v>台北市</v>
      </c>
      <c r="O137">
        <f t="shared" si="10"/>
        <v>32000</v>
      </c>
      <c r="P137" t="str">
        <f>_xlfn.XLOOKUP(N137,區隔!$B$3:$B$20,區隔!C$3:C$20,0)</f>
        <v>北部</v>
      </c>
      <c r="Q137" t="str">
        <f>LOOKUP(C137,區隔!$F$3:$F$5,區隔!$E$3:$E$5)</f>
        <v>中坪數</v>
      </c>
      <c r="R137">
        <f t="shared" si="11"/>
        <v>20</v>
      </c>
    </row>
    <row r="138" spans="1:18" x14ac:dyDescent="0.3">
      <c r="A138" s="7" t="s">
        <v>1076</v>
      </c>
      <c r="B138" t="s">
        <v>0</v>
      </c>
      <c r="C138">
        <v>8.32</v>
      </c>
      <c r="D138" t="s">
        <v>26</v>
      </c>
      <c r="E138" t="s">
        <v>30</v>
      </c>
      <c r="F138" t="s">
        <v>63</v>
      </c>
      <c r="G138" t="s">
        <v>136</v>
      </c>
      <c r="H138" t="str" cm="1">
        <f t="array" ref="H138:I138">_xlfn.TEXTSPLIT(SUBSTITUTE(D138,"樓",""),"/",,,0)</f>
        <v>2</v>
      </c>
      <c r="I138" t="str">
        <v>7</v>
      </c>
      <c r="J138" cm="1">
        <f t="array" ref="J138">GetNumByUnit(E138,"房")</f>
        <v>1</v>
      </c>
      <c r="K138" cm="1">
        <f t="array" ref="K138">GetNumByUnit(E138,"廳")</f>
        <v>1</v>
      </c>
      <c r="L138" cm="1">
        <f t="array" ref="L138">GetNumByUnit(E138,"衛")</f>
        <v>1</v>
      </c>
      <c r="M138" t="str">
        <f t="shared" si="8"/>
        <v xml:space="preserve">台北市北投區西安街二段  </v>
      </c>
      <c r="N138" t="str">
        <f t="shared" si="9"/>
        <v>台北市</v>
      </c>
      <c r="O138">
        <f t="shared" si="10"/>
        <v>19000</v>
      </c>
      <c r="P138" t="str">
        <f>_xlfn.XLOOKUP(N138,區隔!$B$3:$B$20,區隔!C$3:C$20,0)</f>
        <v>北部</v>
      </c>
      <c r="Q138" t="str">
        <f>LOOKUP(C138,區隔!$F$3:$F$5,區隔!$E$3:$E$5)</f>
        <v>小坪數</v>
      </c>
      <c r="R138">
        <f t="shared" si="11"/>
        <v>10</v>
      </c>
    </row>
    <row r="139" spans="1:18" x14ac:dyDescent="0.3">
      <c r="A139" s="7" t="s">
        <v>1077</v>
      </c>
      <c r="B139" t="s">
        <v>0</v>
      </c>
      <c r="C139">
        <v>38.869999999999997</v>
      </c>
      <c r="D139" t="s">
        <v>233</v>
      </c>
      <c r="E139" t="s">
        <v>29</v>
      </c>
      <c r="F139" t="s">
        <v>1078</v>
      </c>
      <c r="G139" t="s">
        <v>18</v>
      </c>
      <c r="H139" t="str" cm="1">
        <f t="array" ref="H139:I139">_xlfn.TEXTSPLIT(SUBSTITUTE(D139,"樓",""),"/",,,0)</f>
        <v>6</v>
      </c>
      <c r="I139" t="str">
        <v>15</v>
      </c>
      <c r="J139" cm="1">
        <f t="array" ref="J139">GetNumByUnit(E139,"房")</f>
        <v>3</v>
      </c>
      <c r="K139" cm="1">
        <f t="array" ref="K139">GetNumByUnit(E139,"廳")</f>
        <v>2</v>
      </c>
      <c r="L139" cm="1">
        <f t="array" ref="L139">GetNumByUnit(E139,"衛")</f>
        <v>2</v>
      </c>
      <c r="M139" t="str">
        <f t="shared" si="8"/>
        <v xml:space="preserve">桃園市八德區新興路  </v>
      </c>
      <c r="N139" t="str">
        <f t="shared" si="9"/>
        <v>桃園市</v>
      </c>
      <c r="O139">
        <f t="shared" si="10"/>
        <v>25000</v>
      </c>
      <c r="P139" t="str">
        <f>_xlfn.XLOOKUP(N139,區隔!$B$3:$B$20,區隔!C$3:C$20,0)</f>
        <v>北部</v>
      </c>
      <c r="Q139" t="str">
        <f>LOOKUP(C139,區隔!$F$3:$F$5,區隔!$E$3:$E$5)</f>
        <v>大坪數</v>
      </c>
      <c r="R139">
        <f t="shared" si="11"/>
        <v>20</v>
      </c>
    </row>
    <row r="140" spans="1:18" x14ac:dyDescent="0.3">
      <c r="A140" s="7" t="s">
        <v>1079</v>
      </c>
      <c r="B140" t="s">
        <v>0</v>
      </c>
      <c r="C140">
        <v>29.54</v>
      </c>
      <c r="D140" t="s">
        <v>135</v>
      </c>
      <c r="E140" t="s">
        <v>1080</v>
      </c>
      <c r="F140" t="s">
        <v>1081</v>
      </c>
      <c r="G140" t="s">
        <v>185</v>
      </c>
      <c r="H140" t="str" cm="1">
        <f t="array" ref="H140:I140">_xlfn.TEXTSPLIT(SUBSTITUTE(D140,"樓",""),"/",,,0)</f>
        <v>1-2</v>
      </c>
      <c r="I140" t="str">
        <v>2</v>
      </c>
      <c r="J140" cm="1">
        <f t="array" ref="J140">GetNumByUnit(E140,"房")</f>
        <v>6</v>
      </c>
      <c r="K140" cm="1">
        <f t="array" ref="K140">GetNumByUnit(E140,"廳")</f>
        <v>2</v>
      </c>
      <c r="L140" cm="1">
        <f t="array" ref="L140">GetNumByUnit(E140,"衛")</f>
        <v>5</v>
      </c>
      <c r="M140" t="str">
        <f t="shared" si="8"/>
        <v xml:space="preserve">高雄市楠梓區藍昌路  </v>
      </c>
      <c r="N140" t="str">
        <f t="shared" si="9"/>
        <v>高雄市</v>
      </c>
      <c r="O140">
        <f t="shared" si="10"/>
        <v>20000</v>
      </c>
      <c r="P140" t="str">
        <f>_xlfn.XLOOKUP(N140,區隔!$B$3:$B$20,區隔!C$3:C$20,0)</f>
        <v>南部</v>
      </c>
      <c r="Q140" t="str">
        <f>LOOKUP(C140,區隔!$F$3:$F$5,區隔!$E$3:$E$5)</f>
        <v>中坪數</v>
      </c>
      <c r="R140">
        <f t="shared" si="11"/>
        <v>10</v>
      </c>
    </row>
    <row r="141" spans="1:18" x14ac:dyDescent="0.3">
      <c r="A141" s="7" t="s">
        <v>1082</v>
      </c>
      <c r="B141" t="s">
        <v>0</v>
      </c>
      <c r="C141">
        <v>33.17</v>
      </c>
      <c r="D141" t="s">
        <v>301</v>
      </c>
      <c r="E141" t="s">
        <v>29</v>
      </c>
      <c r="F141" t="s">
        <v>540</v>
      </c>
      <c r="G141" t="s">
        <v>264</v>
      </c>
      <c r="H141" t="str" cm="1">
        <f t="array" ref="H141:I141">_xlfn.TEXTSPLIT(SUBSTITUTE(D141,"樓",""),"/",,,0)</f>
        <v>18</v>
      </c>
      <c r="I141" t="str">
        <v>19</v>
      </c>
      <c r="J141" cm="1">
        <f t="array" ref="J141">GetNumByUnit(E141,"房")</f>
        <v>3</v>
      </c>
      <c r="K141" cm="1">
        <f t="array" ref="K141">GetNumByUnit(E141,"廳")</f>
        <v>2</v>
      </c>
      <c r="L141" cm="1">
        <f t="array" ref="L141">GetNumByUnit(E141,"衛")</f>
        <v>2</v>
      </c>
      <c r="M141" t="str">
        <f t="shared" si="8"/>
        <v xml:space="preserve">台南市永康區中華二路  </v>
      </c>
      <c r="N141" t="str">
        <f t="shared" si="9"/>
        <v>台南市</v>
      </c>
      <c r="O141">
        <f t="shared" si="10"/>
        <v>17000</v>
      </c>
      <c r="P141" t="str">
        <f>_xlfn.XLOOKUP(N141,區隔!$B$3:$B$20,區隔!C$3:C$20,0)</f>
        <v>南部</v>
      </c>
      <c r="Q141" t="str">
        <f>LOOKUP(C141,區隔!$F$3:$F$5,區隔!$E$3:$E$5)</f>
        <v>大坪數</v>
      </c>
      <c r="R141">
        <f t="shared" si="11"/>
        <v>20</v>
      </c>
    </row>
    <row r="142" spans="1:18" x14ac:dyDescent="0.3">
      <c r="A142" s="7" t="s">
        <v>1083</v>
      </c>
      <c r="B142" t="s">
        <v>0</v>
      </c>
      <c r="C142">
        <v>36.590000000000003</v>
      </c>
      <c r="D142" t="s">
        <v>108</v>
      </c>
      <c r="E142" t="s">
        <v>29</v>
      </c>
      <c r="F142" t="s">
        <v>1084</v>
      </c>
      <c r="G142" t="s">
        <v>112</v>
      </c>
      <c r="H142" t="str" cm="1">
        <f t="array" ref="H142:I142">_xlfn.TEXTSPLIT(SUBSTITUTE(D142,"樓",""),"/",,,0)</f>
        <v>2</v>
      </c>
      <c r="I142" t="str">
        <v>4</v>
      </c>
      <c r="J142" cm="1">
        <f t="array" ref="J142">GetNumByUnit(E142,"房")</f>
        <v>3</v>
      </c>
      <c r="K142" cm="1">
        <f t="array" ref="K142">GetNumByUnit(E142,"廳")</f>
        <v>2</v>
      </c>
      <c r="L142" cm="1">
        <f t="array" ref="L142">GetNumByUnit(E142,"衛")</f>
        <v>2</v>
      </c>
      <c r="M142" t="str">
        <f t="shared" si="8"/>
        <v xml:space="preserve">新北市新莊區公園路  </v>
      </c>
      <c r="N142" t="str">
        <f t="shared" si="9"/>
        <v>新北市</v>
      </c>
      <c r="O142">
        <f t="shared" si="10"/>
        <v>35000</v>
      </c>
      <c r="P142" t="str">
        <f>_xlfn.XLOOKUP(N142,區隔!$B$3:$B$20,區隔!C$3:C$20,0)</f>
        <v>北部</v>
      </c>
      <c r="Q142" t="str">
        <f>LOOKUP(C142,區隔!$F$3:$F$5,區隔!$E$3:$E$5)</f>
        <v>大坪數</v>
      </c>
      <c r="R142">
        <f t="shared" si="11"/>
        <v>10</v>
      </c>
    </row>
    <row r="143" spans="1:18" x14ac:dyDescent="0.3">
      <c r="A143" s="7" t="s">
        <v>1085</v>
      </c>
      <c r="B143" t="s">
        <v>0</v>
      </c>
      <c r="C143">
        <v>23.75</v>
      </c>
      <c r="D143" t="s">
        <v>39</v>
      </c>
      <c r="E143" t="s">
        <v>35</v>
      </c>
      <c r="F143" t="s">
        <v>1086</v>
      </c>
      <c r="G143" t="s">
        <v>185</v>
      </c>
      <c r="H143" t="str" cm="1">
        <f t="array" ref="H143:I143">_xlfn.TEXTSPLIT(SUBSTITUTE(D143,"樓",""),"/",,,0)</f>
        <v>4</v>
      </c>
      <c r="I143" t="str">
        <v>4</v>
      </c>
      <c r="J143" cm="1">
        <f t="array" ref="J143">GetNumByUnit(E143,"房")</f>
        <v>2</v>
      </c>
      <c r="K143" cm="1">
        <f t="array" ref="K143">GetNumByUnit(E143,"廳")</f>
        <v>2</v>
      </c>
      <c r="L143" cm="1">
        <f t="array" ref="L143">GetNumByUnit(E143,"衛")</f>
        <v>1</v>
      </c>
      <c r="M143" t="str">
        <f t="shared" si="8"/>
        <v xml:space="preserve">新北市淡水區鄧公路  </v>
      </c>
      <c r="N143" t="str">
        <f t="shared" si="9"/>
        <v>新北市</v>
      </c>
      <c r="O143">
        <f t="shared" si="10"/>
        <v>20000</v>
      </c>
      <c r="P143" t="str">
        <f>_xlfn.XLOOKUP(N143,區隔!$B$3:$B$20,區隔!C$3:C$20,0)</f>
        <v>北部</v>
      </c>
      <c r="Q143" t="str">
        <f>LOOKUP(C143,區隔!$F$3:$F$5,區隔!$E$3:$E$5)</f>
        <v>中坪數</v>
      </c>
      <c r="R143">
        <f t="shared" si="11"/>
        <v>10</v>
      </c>
    </row>
    <row r="144" spans="1:18" x14ac:dyDescent="0.3">
      <c r="A144" s="7" t="s">
        <v>1087</v>
      </c>
      <c r="B144" t="s">
        <v>0</v>
      </c>
      <c r="C144">
        <v>32.770000000000003</v>
      </c>
      <c r="D144" t="s">
        <v>28</v>
      </c>
      <c r="E144" t="s">
        <v>29</v>
      </c>
      <c r="F144" t="s">
        <v>403</v>
      </c>
      <c r="G144" t="s">
        <v>203</v>
      </c>
      <c r="H144" t="str" cm="1">
        <f t="array" ref="H144:I144">_xlfn.TEXTSPLIT(SUBSTITUTE(D144,"樓",""),"/",,,0)</f>
        <v>12</v>
      </c>
      <c r="I144" t="str">
        <v>15</v>
      </c>
      <c r="J144" cm="1">
        <f t="array" ref="J144">GetNumByUnit(E144,"房")</f>
        <v>3</v>
      </c>
      <c r="K144" cm="1">
        <f t="array" ref="K144">GetNumByUnit(E144,"廳")</f>
        <v>2</v>
      </c>
      <c r="L144" cm="1">
        <f t="array" ref="L144">GetNumByUnit(E144,"衛")</f>
        <v>2</v>
      </c>
      <c r="M144" t="str">
        <f t="shared" si="8"/>
        <v xml:space="preserve">新北市土城區學士路  </v>
      </c>
      <c r="N144" t="str">
        <f t="shared" si="9"/>
        <v>新北市</v>
      </c>
      <c r="O144">
        <f t="shared" si="10"/>
        <v>37000</v>
      </c>
      <c r="P144" t="str">
        <f>_xlfn.XLOOKUP(N144,區隔!$B$3:$B$20,區隔!C$3:C$20,0)</f>
        <v>北部</v>
      </c>
      <c r="Q144" t="str">
        <f>LOOKUP(C144,區隔!$F$3:$F$5,區隔!$E$3:$E$5)</f>
        <v>大坪數</v>
      </c>
      <c r="R144">
        <f t="shared" si="11"/>
        <v>20</v>
      </c>
    </row>
    <row r="145" spans="1:18" x14ac:dyDescent="0.3">
      <c r="A145" s="7" t="s">
        <v>1088</v>
      </c>
      <c r="B145" t="s">
        <v>0</v>
      </c>
      <c r="C145">
        <v>44.58</v>
      </c>
      <c r="D145" t="s">
        <v>110</v>
      </c>
      <c r="E145" t="s">
        <v>29</v>
      </c>
      <c r="F145" t="s">
        <v>399</v>
      </c>
      <c r="G145" t="s">
        <v>99</v>
      </c>
      <c r="H145" t="str" cm="1">
        <f t="array" ref="H145:I145">_xlfn.TEXTSPLIT(SUBSTITUTE(D145,"樓",""),"/",,,0)</f>
        <v>7</v>
      </c>
      <c r="I145" t="str">
        <v>7</v>
      </c>
      <c r="J145" cm="1">
        <f t="array" ref="J145">GetNumByUnit(E145,"房")</f>
        <v>3</v>
      </c>
      <c r="K145" cm="1">
        <f t="array" ref="K145">GetNumByUnit(E145,"廳")</f>
        <v>2</v>
      </c>
      <c r="L145" cm="1">
        <f t="array" ref="L145">GetNumByUnit(E145,"衛")</f>
        <v>2</v>
      </c>
      <c r="M145" t="str">
        <f t="shared" si="8"/>
        <v xml:space="preserve">新北市新莊區中平路  </v>
      </c>
      <c r="N145" t="str">
        <f t="shared" si="9"/>
        <v>新北市</v>
      </c>
      <c r="O145">
        <f t="shared" si="10"/>
        <v>39000</v>
      </c>
      <c r="P145" t="str">
        <f>_xlfn.XLOOKUP(N145,區隔!$B$3:$B$20,區隔!C$3:C$20,0)</f>
        <v>北部</v>
      </c>
      <c r="Q145" t="str">
        <f>LOOKUP(C145,區隔!$F$3:$F$5,區隔!$E$3:$E$5)</f>
        <v>大坪數</v>
      </c>
      <c r="R145">
        <f t="shared" si="11"/>
        <v>10</v>
      </c>
    </row>
    <row r="146" spans="1:18" x14ac:dyDescent="0.3">
      <c r="A146" s="7" t="s">
        <v>443</v>
      </c>
      <c r="B146" t="s">
        <v>0</v>
      </c>
      <c r="C146">
        <v>38.86</v>
      </c>
      <c r="D146" t="s">
        <v>444</v>
      </c>
      <c r="E146" t="s">
        <v>27</v>
      </c>
      <c r="F146" t="s">
        <v>402</v>
      </c>
      <c r="G146" t="s">
        <v>18</v>
      </c>
      <c r="H146" t="str" cm="1">
        <f t="array" ref="H146:I146">_xlfn.TEXTSPLIT(SUBSTITUTE(D146,"樓",""),"/",,,0)</f>
        <v>16</v>
      </c>
      <c r="I146" t="str">
        <v>26</v>
      </c>
      <c r="J146" cm="1">
        <f t="array" ref="J146">GetNumByUnit(E146,"房")</f>
        <v>2</v>
      </c>
      <c r="K146" cm="1">
        <f t="array" ref="K146">GetNumByUnit(E146,"廳")</f>
        <v>2</v>
      </c>
      <c r="L146" cm="1">
        <f t="array" ref="L146">GetNumByUnit(E146,"衛")</f>
        <v>2</v>
      </c>
      <c r="M146" t="str">
        <f t="shared" si="8"/>
        <v xml:space="preserve">新北市淡水區淡金路二段  </v>
      </c>
      <c r="N146" t="str">
        <f t="shared" si="9"/>
        <v>新北市</v>
      </c>
      <c r="O146">
        <f t="shared" si="10"/>
        <v>25000</v>
      </c>
      <c r="P146" t="str">
        <f>_xlfn.XLOOKUP(N146,區隔!$B$3:$B$20,區隔!C$3:C$20,0)</f>
        <v>北部</v>
      </c>
      <c r="Q146" t="str">
        <f>LOOKUP(C146,區隔!$F$3:$F$5,區隔!$E$3:$E$5)</f>
        <v>大坪數</v>
      </c>
      <c r="R146">
        <f t="shared" si="11"/>
        <v>30</v>
      </c>
    </row>
    <row r="147" spans="1:18" x14ac:dyDescent="0.3">
      <c r="A147" s="7" t="s">
        <v>445</v>
      </c>
      <c r="B147" t="s">
        <v>0</v>
      </c>
      <c r="C147">
        <v>39.43</v>
      </c>
      <c r="D147" t="s">
        <v>446</v>
      </c>
      <c r="E147" t="s">
        <v>27</v>
      </c>
      <c r="F147" t="s">
        <v>402</v>
      </c>
      <c r="G147" t="s">
        <v>18</v>
      </c>
      <c r="H147" t="str" cm="1">
        <f t="array" ref="H147:I147">_xlfn.TEXTSPLIT(SUBSTITUTE(D147,"樓",""),"/",,,0)</f>
        <v>15</v>
      </c>
      <c r="I147" t="str">
        <v>26</v>
      </c>
      <c r="J147" cm="1">
        <f t="array" ref="J147">GetNumByUnit(E147,"房")</f>
        <v>2</v>
      </c>
      <c r="K147" cm="1">
        <f t="array" ref="K147">GetNumByUnit(E147,"廳")</f>
        <v>2</v>
      </c>
      <c r="L147" cm="1">
        <f t="array" ref="L147">GetNumByUnit(E147,"衛")</f>
        <v>2</v>
      </c>
      <c r="M147" t="str">
        <f t="shared" si="8"/>
        <v xml:space="preserve">新北市淡水區淡金路二段  </v>
      </c>
      <c r="N147" t="str">
        <f t="shared" si="9"/>
        <v>新北市</v>
      </c>
      <c r="O147">
        <f t="shared" si="10"/>
        <v>25000</v>
      </c>
      <c r="P147" t="str">
        <f>_xlfn.XLOOKUP(N147,區隔!$B$3:$B$20,區隔!C$3:C$20,0)</f>
        <v>北部</v>
      </c>
      <c r="Q147" t="str">
        <f>LOOKUP(C147,區隔!$F$3:$F$5,區隔!$E$3:$E$5)</f>
        <v>大坪數</v>
      </c>
      <c r="R147">
        <f t="shared" si="11"/>
        <v>30</v>
      </c>
    </row>
    <row r="148" spans="1:18" x14ac:dyDescent="0.3">
      <c r="A148" s="7" t="s">
        <v>1089</v>
      </c>
      <c r="B148" t="s">
        <v>0</v>
      </c>
      <c r="C148">
        <v>28.96</v>
      </c>
      <c r="D148" t="s">
        <v>85</v>
      </c>
      <c r="E148" t="s">
        <v>29</v>
      </c>
      <c r="F148" t="s">
        <v>1090</v>
      </c>
      <c r="G148" t="s">
        <v>264</v>
      </c>
      <c r="H148" t="str" cm="1">
        <f t="array" ref="H148:I148">_xlfn.TEXTSPLIT(SUBSTITUTE(D148,"樓",""),"/",,,0)</f>
        <v>6</v>
      </c>
      <c r="I148" t="str">
        <v>7</v>
      </c>
      <c r="J148" cm="1">
        <f t="array" ref="J148">GetNumByUnit(E148,"房")</f>
        <v>3</v>
      </c>
      <c r="K148" cm="1">
        <f t="array" ref="K148">GetNumByUnit(E148,"廳")</f>
        <v>2</v>
      </c>
      <c r="L148" cm="1">
        <f t="array" ref="L148">GetNumByUnit(E148,"衛")</f>
        <v>2</v>
      </c>
      <c r="M148" t="str">
        <f t="shared" si="8"/>
        <v xml:space="preserve">桃園市中壢區華安路  </v>
      </c>
      <c r="N148" t="str">
        <f t="shared" si="9"/>
        <v>桃園市</v>
      </c>
      <c r="O148">
        <f t="shared" si="10"/>
        <v>17000</v>
      </c>
      <c r="P148" t="str">
        <f>_xlfn.XLOOKUP(N148,區隔!$B$3:$B$20,區隔!C$3:C$20,0)</f>
        <v>北部</v>
      </c>
      <c r="Q148" t="str">
        <f>LOOKUP(C148,區隔!$F$3:$F$5,區隔!$E$3:$E$5)</f>
        <v>中坪數</v>
      </c>
      <c r="R148">
        <f t="shared" si="11"/>
        <v>10</v>
      </c>
    </row>
    <row r="149" spans="1:18" x14ac:dyDescent="0.3">
      <c r="A149" s="7" t="s">
        <v>1091</v>
      </c>
      <c r="B149" t="s">
        <v>0</v>
      </c>
      <c r="C149">
        <v>23.93</v>
      </c>
      <c r="D149" t="s">
        <v>1092</v>
      </c>
      <c r="E149" t="s">
        <v>47</v>
      </c>
      <c r="F149" t="s">
        <v>536</v>
      </c>
      <c r="G149" t="s">
        <v>185</v>
      </c>
      <c r="H149" t="str" cm="1">
        <f t="array" ref="H149:I149">_xlfn.TEXTSPLIT(SUBSTITUTE(D149,"樓",""),"/",,,0)</f>
        <v>21</v>
      </c>
      <c r="I149" t="str">
        <v>28</v>
      </c>
      <c r="J149" cm="1">
        <f t="array" ref="J149">GetNumByUnit(E149,"房")</f>
        <v>1</v>
      </c>
      <c r="K149" cm="1">
        <f t="array" ref="K149">GetNumByUnit(E149,"廳")</f>
        <v>2</v>
      </c>
      <c r="L149" cm="1">
        <f t="array" ref="L149">GetNumByUnit(E149,"衛")</f>
        <v>1</v>
      </c>
      <c r="M149" t="str">
        <f t="shared" si="8"/>
        <v xml:space="preserve">台中市西屯區市政北一路  </v>
      </c>
      <c r="N149" t="str">
        <f t="shared" si="9"/>
        <v>台中市</v>
      </c>
      <c r="O149">
        <f t="shared" si="10"/>
        <v>20000</v>
      </c>
      <c r="P149" t="str">
        <f>_xlfn.XLOOKUP(N149,區隔!$B$3:$B$20,區隔!C$3:C$20,0)</f>
        <v>中部</v>
      </c>
      <c r="Q149" t="str">
        <f>LOOKUP(C149,區隔!$F$3:$F$5,區隔!$E$3:$E$5)</f>
        <v>中坪數</v>
      </c>
      <c r="R149">
        <f t="shared" si="11"/>
        <v>30</v>
      </c>
    </row>
    <row r="150" spans="1:18" x14ac:dyDescent="0.3">
      <c r="A150" s="7" t="s">
        <v>1093</v>
      </c>
      <c r="B150" t="s">
        <v>0</v>
      </c>
      <c r="C150">
        <v>29.33</v>
      </c>
      <c r="D150" t="s">
        <v>110</v>
      </c>
      <c r="E150" t="s">
        <v>44</v>
      </c>
      <c r="F150" t="s">
        <v>1094</v>
      </c>
      <c r="G150" t="s">
        <v>168</v>
      </c>
      <c r="H150" t="str" cm="1">
        <f t="array" ref="H150:I150">_xlfn.TEXTSPLIT(SUBSTITUTE(D150,"樓",""),"/",,,0)</f>
        <v>7</v>
      </c>
      <c r="I150" t="str">
        <v>7</v>
      </c>
      <c r="J150" cm="1">
        <f t="array" ref="J150">GetNumByUnit(E150,"房")</f>
        <v>2</v>
      </c>
      <c r="K150" cm="1">
        <f t="array" ref="K150">GetNumByUnit(E150,"廳")</f>
        <v>2</v>
      </c>
      <c r="L150" cm="1">
        <f t="array" ref="L150">GetNumByUnit(E150,"衛")</f>
        <v>2</v>
      </c>
      <c r="M150" t="str">
        <f t="shared" si="8"/>
        <v xml:space="preserve">新北市中和區安樂路  </v>
      </c>
      <c r="N150" t="str">
        <f t="shared" si="9"/>
        <v>新北市</v>
      </c>
      <c r="O150">
        <f t="shared" si="10"/>
        <v>33000</v>
      </c>
      <c r="P150" t="str">
        <f>_xlfn.XLOOKUP(N150,區隔!$B$3:$B$20,區隔!C$3:C$20,0)</f>
        <v>北部</v>
      </c>
      <c r="Q150" t="str">
        <f>LOOKUP(C150,區隔!$F$3:$F$5,區隔!$E$3:$E$5)</f>
        <v>中坪數</v>
      </c>
      <c r="R150">
        <f t="shared" si="11"/>
        <v>10</v>
      </c>
    </row>
    <row r="151" spans="1:18" x14ac:dyDescent="0.3">
      <c r="A151" s="7" t="s">
        <v>1095</v>
      </c>
      <c r="B151" t="s">
        <v>0</v>
      </c>
      <c r="C151">
        <v>28.6</v>
      </c>
      <c r="D151" t="s">
        <v>243</v>
      </c>
      <c r="E151" t="s">
        <v>35</v>
      </c>
      <c r="F151" t="s">
        <v>557</v>
      </c>
      <c r="G151" t="s">
        <v>74</v>
      </c>
      <c r="H151" t="str" cm="1">
        <f t="array" ref="H151:I151">_xlfn.TEXTSPLIT(SUBSTITUTE(D151,"樓",""),"/",,,0)</f>
        <v>13</v>
      </c>
      <c r="I151" t="str">
        <v>27</v>
      </c>
      <c r="J151" cm="1">
        <f t="array" ref="J151">GetNumByUnit(E151,"房")</f>
        <v>2</v>
      </c>
      <c r="K151" cm="1">
        <f t="array" ref="K151">GetNumByUnit(E151,"廳")</f>
        <v>2</v>
      </c>
      <c r="L151" cm="1">
        <f t="array" ref="L151">GetNumByUnit(E151,"衛")</f>
        <v>1</v>
      </c>
      <c r="M151" t="str">
        <f t="shared" si="8"/>
        <v xml:space="preserve">新北市中和區景平路  </v>
      </c>
      <c r="N151" t="str">
        <f t="shared" si="9"/>
        <v>新北市</v>
      </c>
      <c r="O151">
        <f t="shared" si="10"/>
        <v>36000</v>
      </c>
      <c r="P151" t="str">
        <f>_xlfn.XLOOKUP(N151,區隔!$B$3:$B$20,區隔!C$3:C$20,0)</f>
        <v>北部</v>
      </c>
      <c r="Q151" t="str">
        <f>LOOKUP(C151,區隔!$F$3:$F$5,區隔!$E$3:$E$5)</f>
        <v>中坪數</v>
      </c>
      <c r="R151">
        <f t="shared" si="11"/>
        <v>30</v>
      </c>
    </row>
    <row r="152" spans="1:18" x14ac:dyDescent="0.3">
      <c r="A152" s="7" t="s">
        <v>1096</v>
      </c>
      <c r="B152" t="s">
        <v>0</v>
      </c>
      <c r="C152">
        <v>28.3</v>
      </c>
      <c r="D152" t="s">
        <v>138</v>
      </c>
      <c r="E152" t="s">
        <v>29</v>
      </c>
      <c r="F152" t="s">
        <v>134</v>
      </c>
      <c r="G152" t="s">
        <v>276</v>
      </c>
      <c r="H152" t="str" cm="1">
        <f t="array" ref="H152:I152">_xlfn.TEXTSPLIT(SUBSTITUTE(D152,"樓",""),"/",,,0)</f>
        <v>3</v>
      </c>
      <c r="I152" t="str">
        <v>5</v>
      </c>
      <c r="J152" cm="1">
        <f t="array" ref="J152">GetNumByUnit(E152,"房")</f>
        <v>3</v>
      </c>
      <c r="K152" cm="1">
        <f t="array" ref="K152">GetNumByUnit(E152,"廳")</f>
        <v>2</v>
      </c>
      <c r="L152" cm="1">
        <f t="array" ref="L152">GetNumByUnit(E152,"衛")</f>
        <v>2</v>
      </c>
      <c r="M152" t="str">
        <f t="shared" si="8"/>
        <v xml:space="preserve">台北市信義區永吉路  </v>
      </c>
      <c r="N152" t="str">
        <f t="shared" si="9"/>
        <v>台北市</v>
      </c>
      <c r="O152">
        <f t="shared" si="10"/>
        <v>43800</v>
      </c>
      <c r="P152" t="str">
        <f>_xlfn.XLOOKUP(N152,區隔!$B$3:$B$20,區隔!C$3:C$20,0)</f>
        <v>北部</v>
      </c>
      <c r="Q152" t="str">
        <f>LOOKUP(C152,區隔!$F$3:$F$5,區隔!$E$3:$E$5)</f>
        <v>中坪數</v>
      </c>
      <c r="R152">
        <f t="shared" si="11"/>
        <v>10</v>
      </c>
    </row>
    <row r="153" spans="1:18" x14ac:dyDescent="0.3">
      <c r="A153" s="7" t="s">
        <v>1097</v>
      </c>
      <c r="B153" t="s">
        <v>0</v>
      </c>
      <c r="C153">
        <v>4.79</v>
      </c>
      <c r="D153" t="s">
        <v>387</v>
      </c>
      <c r="E153" t="s">
        <v>129</v>
      </c>
      <c r="F153" t="s">
        <v>1098</v>
      </c>
      <c r="G153" t="s">
        <v>104</v>
      </c>
      <c r="H153" t="str" cm="1">
        <f t="array" ref="H153:I153">_xlfn.TEXTSPLIT(SUBSTITUTE(D153,"樓",""),"/",,,0)</f>
        <v>1</v>
      </c>
      <c r="I153" t="str">
        <v>1</v>
      </c>
      <c r="J153" cm="1">
        <f t="array" ref="J153">GetNumByUnit(E153,"房")</f>
        <v>1</v>
      </c>
      <c r="K153" cm="1">
        <f t="array" ref="K153">GetNumByUnit(E153,"廳")</f>
        <v>1</v>
      </c>
      <c r="L153" cm="1">
        <f t="array" ref="L153">GetNumByUnit(E153,"衛")</f>
        <v>1</v>
      </c>
      <c r="M153" t="str">
        <f t="shared" si="8"/>
        <v xml:space="preserve">台南市中西區正德街  </v>
      </c>
      <c r="N153" t="str">
        <f t="shared" si="9"/>
        <v>台南市</v>
      </c>
      <c r="O153">
        <f t="shared" si="10"/>
        <v>18000</v>
      </c>
      <c r="P153" t="str">
        <f>_xlfn.XLOOKUP(N153,區隔!$B$3:$B$20,區隔!C$3:C$20,0)</f>
        <v>南部</v>
      </c>
      <c r="Q153" t="str">
        <f>LOOKUP(C153,區隔!$F$3:$F$5,區隔!$E$3:$E$5)</f>
        <v>小坪數</v>
      </c>
      <c r="R153">
        <f t="shared" si="11"/>
        <v>10</v>
      </c>
    </row>
    <row r="154" spans="1:18" x14ac:dyDescent="0.3">
      <c r="A154" s="7" t="s">
        <v>1099</v>
      </c>
      <c r="B154" t="s">
        <v>0</v>
      </c>
      <c r="C154">
        <v>27.65</v>
      </c>
      <c r="D154" t="s">
        <v>138</v>
      </c>
      <c r="E154" t="s">
        <v>29</v>
      </c>
      <c r="F154" t="s">
        <v>1100</v>
      </c>
      <c r="G154" t="s">
        <v>331</v>
      </c>
      <c r="H154" t="str" cm="1">
        <f t="array" ref="H154:I154">_xlfn.TEXTSPLIT(SUBSTITUTE(D154,"樓",""),"/",,,0)</f>
        <v>3</v>
      </c>
      <c r="I154" t="str">
        <v>5</v>
      </c>
      <c r="J154" cm="1">
        <f t="array" ref="J154">GetNumByUnit(E154,"房")</f>
        <v>3</v>
      </c>
      <c r="K154" cm="1">
        <f t="array" ref="K154">GetNumByUnit(E154,"廳")</f>
        <v>2</v>
      </c>
      <c r="L154" cm="1">
        <f t="array" ref="L154">GetNumByUnit(E154,"衛")</f>
        <v>2</v>
      </c>
      <c r="M154" t="str">
        <f t="shared" si="8"/>
        <v xml:space="preserve">新北市永和區安樂路  </v>
      </c>
      <c r="N154" t="str">
        <f t="shared" si="9"/>
        <v>新北市</v>
      </c>
      <c r="O154">
        <f t="shared" si="10"/>
        <v>28500</v>
      </c>
      <c r="P154" t="str">
        <f>_xlfn.XLOOKUP(N154,區隔!$B$3:$B$20,區隔!C$3:C$20,0)</f>
        <v>北部</v>
      </c>
      <c r="Q154" t="str">
        <f>LOOKUP(C154,區隔!$F$3:$F$5,區隔!$E$3:$E$5)</f>
        <v>中坪數</v>
      </c>
      <c r="R154">
        <f t="shared" si="11"/>
        <v>10</v>
      </c>
    </row>
    <row r="155" spans="1:18" x14ac:dyDescent="0.3">
      <c r="A155" s="7" t="s">
        <v>1101</v>
      </c>
      <c r="B155" t="s">
        <v>0</v>
      </c>
      <c r="C155">
        <v>49.12</v>
      </c>
      <c r="D155" t="s">
        <v>248</v>
      </c>
      <c r="E155" t="s">
        <v>27</v>
      </c>
      <c r="F155" t="s">
        <v>352</v>
      </c>
      <c r="G155" t="s">
        <v>331</v>
      </c>
      <c r="H155" t="str" cm="1">
        <f t="array" ref="H155:I155">_xlfn.TEXTSPLIT(SUBSTITUTE(D155,"樓",""),"/",,,0)</f>
        <v>14</v>
      </c>
      <c r="I155" t="str">
        <v>15</v>
      </c>
      <c r="J155" cm="1">
        <f t="array" ref="J155">GetNumByUnit(E155,"房")</f>
        <v>2</v>
      </c>
      <c r="K155" cm="1">
        <f t="array" ref="K155">GetNumByUnit(E155,"廳")</f>
        <v>2</v>
      </c>
      <c r="L155" cm="1">
        <f t="array" ref="L155">GetNumByUnit(E155,"衛")</f>
        <v>2</v>
      </c>
      <c r="M155" t="str">
        <f t="shared" si="8"/>
        <v xml:space="preserve">高雄市楠梓區後昌路  </v>
      </c>
      <c r="N155" t="str">
        <f t="shared" si="9"/>
        <v>高雄市</v>
      </c>
      <c r="O155">
        <f t="shared" si="10"/>
        <v>28500</v>
      </c>
      <c r="P155" t="str">
        <f>_xlfn.XLOOKUP(N155,區隔!$B$3:$B$20,區隔!C$3:C$20,0)</f>
        <v>南部</v>
      </c>
      <c r="Q155" t="str">
        <f>LOOKUP(C155,區隔!$F$3:$F$5,區隔!$E$3:$E$5)</f>
        <v>大坪數</v>
      </c>
      <c r="R155">
        <f t="shared" si="11"/>
        <v>20</v>
      </c>
    </row>
    <row r="156" spans="1:18" x14ac:dyDescent="0.3">
      <c r="A156" s="7" t="s">
        <v>1102</v>
      </c>
      <c r="B156" t="s">
        <v>0</v>
      </c>
      <c r="C156">
        <v>49.85</v>
      </c>
      <c r="D156" t="s">
        <v>55</v>
      </c>
      <c r="E156" t="s">
        <v>27</v>
      </c>
      <c r="F156" t="s">
        <v>352</v>
      </c>
      <c r="G156" t="s">
        <v>15</v>
      </c>
      <c r="H156" t="str" cm="1">
        <f t="array" ref="H156:I156">_xlfn.TEXTSPLIT(SUBSTITUTE(D156,"樓",""),"/",,,0)</f>
        <v>8</v>
      </c>
      <c r="I156" t="str">
        <v>15</v>
      </c>
      <c r="J156" cm="1">
        <f t="array" ref="J156">GetNumByUnit(E156,"房")</f>
        <v>2</v>
      </c>
      <c r="K156" cm="1">
        <f t="array" ref="K156">GetNumByUnit(E156,"廳")</f>
        <v>2</v>
      </c>
      <c r="L156" cm="1">
        <f t="array" ref="L156">GetNumByUnit(E156,"衛")</f>
        <v>2</v>
      </c>
      <c r="M156" t="str">
        <f t="shared" si="8"/>
        <v xml:space="preserve">高雄市楠梓區後昌路  </v>
      </c>
      <c r="N156" t="str">
        <f t="shared" si="9"/>
        <v>高雄市</v>
      </c>
      <c r="O156">
        <f t="shared" si="10"/>
        <v>32000</v>
      </c>
      <c r="P156" t="str">
        <f>_xlfn.XLOOKUP(N156,區隔!$B$3:$B$20,區隔!C$3:C$20,0)</f>
        <v>南部</v>
      </c>
      <c r="Q156" t="str">
        <f>LOOKUP(C156,區隔!$F$3:$F$5,區隔!$E$3:$E$5)</f>
        <v>大坪數</v>
      </c>
      <c r="R156">
        <f t="shared" si="11"/>
        <v>20</v>
      </c>
    </row>
    <row r="157" spans="1:18" x14ac:dyDescent="0.3">
      <c r="A157" s="7" t="s">
        <v>1103</v>
      </c>
      <c r="B157" t="s">
        <v>0</v>
      </c>
      <c r="C157">
        <v>33.4</v>
      </c>
      <c r="D157" t="s">
        <v>175</v>
      </c>
      <c r="E157" t="s">
        <v>35</v>
      </c>
      <c r="F157" t="s">
        <v>1104</v>
      </c>
      <c r="G157" t="s">
        <v>185</v>
      </c>
      <c r="H157" t="str" cm="1">
        <f t="array" ref="H157:I157">_xlfn.TEXTSPLIT(SUBSTITUTE(D157,"樓",""),"/",,,0)</f>
        <v>5</v>
      </c>
      <c r="I157" t="str">
        <v>19</v>
      </c>
      <c r="J157" cm="1">
        <f t="array" ref="J157">GetNumByUnit(E157,"房")</f>
        <v>2</v>
      </c>
      <c r="K157" cm="1">
        <f t="array" ref="K157">GetNumByUnit(E157,"廳")</f>
        <v>2</v>
      </c>
      <c r="L157" cm="1">
        <f t="array" ref="L157">GetNumByUnit(E157,"衛")</f>
        <v>1</v>
      </c>
      <c r="M157" t="str">
        <f t="shared" si="8"/>
        <v xml:space="preserve"> 新北市淡水區淡金路  </v>
      </c>
      <c r="N157" t="str">
        <f t="shared" si="9"/>
        <v>新北市</v>
      </c>
      <c r="O157">
        <f t="shared" si="10"/>
        <v>20000</v>
      </c>
      <c r="P157" t="str">
        <f>_xlfn.XLOOKUP(N157,區隔!$B$3:$B$20,區隔!C$3:C$20,0)</f>
        <v>北部</v>
      </c>
      <c r="Q157" t="str">
        <f>LOOKUP(C157,區隔!$F$3:$F$5,區隔!$E$3:$E$5)</f>
        <v>大坪數</v>
      </c>
      <c r="R157">
        <f t="shared" si="11"/>
        <v>20</v>
      </c>
    </row>
    <row r="158" spans="1:18" x14ac:dyDescent="0.3">
      <c r="A158" s="7" t="s">
        <v>1105</v>
      </c>
      <c r="B158" t="s">
        <v>0</v>
      </c>
      <c r="C158">
        <v>71.41</v>
      </c>
      <c r="D158" t="s">
        <v>293</v>
      </c>
      <c r="E158" t="s">
        <v>40</v>
      </c>
      <c r="F158" t="s">
        <v>1106</v>
      </c>
      <c r="G158" t="s">
        <v>115</v>
      </c>
      <c r="H158" t="str" cm="1">
        <f t="array" ref="H158:I158">_xlfn.TEXTSPLIT(SUBSTITUTE(D158,"樓",""),"/",,,0)</f>
        <v>3</v>
      </c>
      <c r="I158" t="str">
        <v>10</v>
      </c>
      <c r="J158" cm="1">
        <f t="array" ref="J158">GetNumByUnit(E158,"房")</f>
        <v>4</v>
      </c>
      <c r="K158" cm="1">
        <f t="array" ref="K158">GetNumByUnit(E158,"廳")</f>
        <v>2</v>
      </c>
      <c r="L158" cm="1">
        <f t="array" ref="L158">GetNumByUnit(E158,"衛")</f>
        <v>2</v>
      </c>
      <c r="M158" t="str">
        <f t="shared" si="8"/>
        <v xml:space="preserve">桃園市大園區水源南路  </v>
      </c>
      <c r="N158" t="str">
        <f t="shared" si="9"/>
        <v>桃園市</v>
      </c>
      <c r="O158">
        <f t="shared" si="10"/>
        <v>30000</v>
      </c>
      <c r="P158" t="str">
        <f>_xlfn.XLOOKUP(N158,區隔!$B$3:$B$20,區隔!C$3:C$20,0)</f>
        <v>北部</v>
      </c>
      <c r="Q158" t="str">
        <f>LOOKUP(C158,區隔!$F$3:$F$5,區隔!$E$3:$E$5)</f>
        <v>大坪數</v>
      </c>
      <c r="R158">
        <f t="shared" si="11"/>
        <v>10</v>
      </c>
    </row>
    <row r="159" spans="1:18" x14ac:dyDescent="0.3">
      <c r="A159" s="7" t="s">
        <v>1107</v>
      </c>
      <c r="B159" t="s">
        <v>0</v>
      </c>
      <c r="C159">
        <v>40.68</v>
      </c>
      <c r="D159" t="s">
        <v>280</v>
      </c>
      <c r="E159" t="s">
        <v>180</v>
      </c>
      <c r="F159" t="s">
        <v>607</v>
      </c>
      <c r="G159" t="s">
        <v>22</v>
      </c>
      <c r="H159" t="str" cm="1">
        <f t="array" ref="H159:I159">_xlfn.TEXTSPLIT(SUBSTITUTE(D159,"樓",""),"/",,,0)</f>
        <v>15</v>
      </c>
      <c r="I159" t="str">
        <v>15</v>
      </c>
      <c r="J159" cm="1">
        <f t="array" ref="J159">GetNumByUnit(E159,"房")</f>
        <v>2</v>
      </c>
      <c r="K159" cm="1">
        <f t="array" ref="K159">GetNumByUnit(E159,"廳")</f>
        <v>2</v>
      </c>
      <c r="L159" cm="1">
        <f t="array" ref="L159">GetNumByUnit(E159,"衛")</f>
        <v>1</v>
      </c>
      <c r="M159" t="str">
        <f t="shared" si="8"/>
        <v xml:space="preserve">新北市三重區水漾路一段  </v>
      </c>
      <c r="N159" t="str">
        <f t="shared" si="9"/>
        <v>新北市</v>
      </c>
      <c r="O159">
        <f t="shared" si="10"/>
        <v>45000</v>
      </c>
      <c r="P159" t="str">
        <f>_xlfn.XLOOKUP(N159,區隔!$B$3:$B$20,區隔!C$3:C$20,0)</f>
        <v>北部</v>
      </c>
      <c r="Q159" t="str">
        <f>LOOKUP(C159,區隔!$F$3:$F$5,區隔!$E$3:$E$5)</f>
        <v>大坪數</v>
      </c>
      <c r="R159">
        <f t="shared" si="11"/>
        <v>20</v>
      </c>
    </row>
    <row r="160" spans="1:18" x14ac:dyDescent="0.3">
      <c r="A160" s="7" t="s">
        <v>496</v>
      </c>
      <c r="B160" t="s">
        <v>0</v>
      </c>
      <c r="C160">
        <v>25.11</v>
      </c>
      <c r="D160" t="s">
        <v>173</v>
      </c>
      <c r="E160" t="s">
        <v>95</v>
      </c>
      <c r="F160" t="s">
        <v>497</v>
      </c>
      <c r="G160" t="s">
        <v>18</v>
      </c>
      <c r="H160" t="str" cm="1">
        <f t="array" ref="H160:I160">_xlfn.TEXTSPLIT(SUBSTITUTE(D160,"樓",""),"/",,,0)</f>
        <v>3</v>
      </c>
      <c r="I160" t="str">
        <v>4</v>
      </c>
      <c r="J160" cm="1">
        <f t="array" ref="J160">GetNumByUnit(E160,"房")</f>
        <v>3</v>
      </c>
      <c r="K160" cm="1">
        <f t="array" ref="K160">GetNumByUnit(E160,"廳")</f>
        <v>2</v>
      </c>
      <c r="L160" cm="1">
        <f t="array" ref="L160">GetNumByUnit(E160,"衛")</f>
        <v>1</v>
      </c>
      <c r="M160" t="str">
        <f t="shared" si="8"/>
        <v xml:space="preserve">新北市蘆洲區正和街  </v>
      </c>
      <c r="N160" t="str">
        <f t="shared" si="9"/>
        <v>新北市</v>
      </c>
      <c r="O160">
        <f t="shared" si="10"/>
        <v>25000</v>
      </c>
      <c r="P160" t="str">
        <f>_xlfn.XLOOKUP(N160,區隔!$B$3:$B$20,區隔!C$3:C$20,0)</f>
        <v>北部</v>
      </c>
      <c r="Q160" t="str">
        <f>LOOKUP(C160,區隔!$F$3:$F$5,區隔!$E$3:$E$5)</f>
        <v>中坪數</v>
      </c>
      <c r="R160">
        <f t="shared" si="11"/>
        <v>10</v>
      </c>
    </row>
    <row r="161" spans="1:18" x14ac:dyDescent="0.3">
      <c r="A161" s="7" t="s">
        <v>1108</v>
      </c>
      <c r="B161" t="s">
        <v>0</v>
      </c>
      <c r="C161">
        <v>58.5</v>
      </c>
      <c r="D161" t="s">
        <v>308</v>
      </c>
      <c r="E161" t="s">
        <v>1109</v>
      </c>
      <c r="F161" t="s">
        <v>1110</v>
      </c>
      <c r="G161" t="s">
        <v>115</v>
      </c>
      <c r="H161" t="str" cm="1">
        <f t="array" ref="H161:I161">_xlfn.TEXTSPLIT(SUBSTITUTE(D161,"樓",""),"/",,,0)</f>
        <v>B1-1</v>
      </c>
      <c r="I161" t="str">
        <v>5</v>
      </c>
      <c r="J161" cm="1">
        <f t="array" ref="J161">GetNumByUnit(E161,"房")</f>
        <v>4</v>
      </c>
      <c r="K161" cm="1">
        <f t="array" ref="K161">GetNumByUnit(E161,"廳")</f>
        <v>3</v>
      </c>
      <c r="L161" cm="1">
        <f t="array" ref="L161">GetNumByUnit(E161,"衛")</f>
        <v>2</v>
      </c>
      <c r="M161" t="str">
        <f t="shared" si="8"/>
        <v xml:space="preserve">台中市西區福人街  </v>
      </c>
      <c r="N161" t="str">
        <f t="shared" si="9"/>
        <v>台中市</v>
      </c>
      <c r="O161">
        <f t="shared" si="10"/>
        <v>30000</v>
      </c>
      <c r="P161" t="str">
        <f>_xlfn.XLOOKUP(N161,區隔!$B$3:$B$20,區隔!C$3:C$20,0)</f>
        <v>中部</v>
      </c>
      <c r="Q161" t="str">
        <f>LOOKUP(C161,區隔!$F$3:$F$5,區隔!$E$3:$E$5)</f>
        <v>大坪數</v>
      </c>
      <c r="R161">
        <f t="shared" si="11"/>
        <v>10</v>
      </c>
    </row>
    <row r="162" spans="1:18" x14ac:dyDescent="0.3">
      <c r="A162" s="7" t="s">
        <v>215</v>
      </c>
      <c r="B162" t="s">
        <v>0</v>
      </c>
      <c r="C162">
        <v>71.7</v>
      </c>
      <c r="D162" t="s">
        <v>101</v>
      </c>
      <c r="E162" t="s">
        <v>40</v>
      </c>
      <c r="F162" t="s">
        <v>73</v>
      </c>
      <c r="G162" t="s">
        <v>216</v>
      </c>
      <c r="H162" t="str" cm="1">
        <f t="array" ref="H162:I162">_xlfn.TEXTSPLIT(SUBSTITUTE(D162,"樓",""),"/",,,0)</f>
        <v>2</v>
      </c>
      <c r="I162" t="str">
        <v>9</v>
      </c>
      <c r="J162" cm="1">
        <f t="array" ref="J162">GetNumByUnit(E162,"房")</f>
        <v>4</v>
      </c>
      <c r="K162" cm="1">
        <f t="array" ref="K162">GetNumByUnit(E162,"廳")</f>
        <v>2</v>
      </c>
      <c r="L162" cm="1">
        <f t="array" ref="L162">GetNumByUnit(E162,"衛")</f>
        <v>2</v>
      </c>
      <c r="M162" t="str">
        <f t="shared" si="8"/>
        <v xml:space="preserve">台北市北投區三合街一段  </v>
      </c>
      <c r="N162" t="str">
        <f t="shared" si="9"/>
        <v>台北市</v>
      </c>
      <c r="O162">
        <f t="shared" si="10"/>
        <v>89000</v>
      </c>
      <c r="P162" t="str">
        <f>_xlfn.XLOOKUP(N162,區隔!$B$3:$B$20,區隔!C$3:C$20,0)</f>
        <v>北部</v>
      </c>
      <c r="Q162" t="str">
        <f>LOOKUP(C162,區隔!$F$3:$F$5,區隔!$E$3:$E$5)</f>
        <v>大坪數</v>
      </c>
      <c r="R162">
        <f t="shared" si="11"/>
        <v>10</v>
      </c>
    </row>
    <row r="163" spans="1:18" x14ac:dyDescent="0.3">
      <c r="A163" s="7" t="s">
        <v>1111</v>
      </c>
      <c r="B163" t="s">
        <v>0</v>
      </c>
      <c r="C163">
        <v>12.71</v>
      </c>
      <c r="D163" t="s">
        <v>564</v>
      </c>
      <c r="E163" t="s">
        <v>30</v>
      </c>
      <c r="F163" t="s">
        <v>425</v>
      </c>
      <c r="G163" t="s">
        <v>136</v>
      </c>
      <c r="H163" t="str" cm="1">
        <f t="array" ref="H163:I163">_xlfn.TEXTSPLIT(SUBSTITUTE(D163,"樓",""),"/",,,0)</f>
        <v>20</v>
      </c>
      <c r="I163" t="str">
        <v>27</v>
      </c>
      <c r="J163" cm="1">
        <f t="array" ref="J163">GetNumByUnit(E163,"房")</f>
        <v>1</v>
      </c>
      <c r="K163" cm="1">
        <f t="array" ref="K163">GetNumByUnit(E163,"廳")</f>
        <v>1</v>
      </c>
      <c r="L163" cm="1">
        <f t="array" ref="L163">GetNumByUnit(E163,"衛")</f>
        <v>1</v>
      </c>
      <c r="M163" t="str">
        <f t="shared" si="8"/>
        <v xml:space="preserve">桃園市龜山區文學路  </v>
      </c>
      <c r="N163" t="str">
        <f t="shared" si="9"/>
        <v>桃園市</v>
      </c>
      <c r="O163">
        <f t="shared" si="10"/>
        <v>19000</v>
      </c>
      <c r="P163" t="str">
        <f>_xlfn.XLOOKUP(N163,區隔!$B$3:$B$20,區隔!C$3:C$20,0)</f>
        <v>北部</v>
      </c>
      <c r="Q163" t="str">
        <f>LOOKUP(C163,區隔!$F$3:$F$5,區隔!$E$3:$E$5)</f>
        <v>小坪數</v>
      </c>
      <c r="R163">
        <f t="shared" si="11"/>
        <v>30</v>
      </c>
    </row>
    <row r="164" spans="1:18" x14ac:dyDescent="0.3">
      <c r="A164" s="7" t="s">
        <v>1112</v>
      </c>
      <c r="B164" t="s">
        <v>0</v>
      </c>
      <c r="C164">
        <v>12.7</v>
      </c>
      <c r="D164" t="s">
        <v>564</v>
      </c>
      <c r="E164" t="s">
        <v>30</v>
      </c>
      <c r="F164" t="s">
        <v>425</v>
      </c>
      <c r="G164" t="s">
        <v>239</v>
      </c>
      <c r="H164" t="str" cm="1">
        <f t="array" ref="H164:I164">_xlfn.TEXTSPLIT(SUBSTITUTE(D164,"樓",""),"/",,,0)</f>
        <v>20</v>
      </c>
      <c r="I164" t="str">
        <v>27</v>
      </c>
      <c r="J164" cm="1">
        <f t="array" ref="J164">GetNumByUnit(E164,"房")</f>
        <v>1</v>
      </c>
      <c r="K164" cm="1">
        <f t="array" ref="K164">GetNumByUnit(E164,"廳")</f>
        <v>1</v>
      </c>
      <c r="L164" cm="1">
        <f t="array" ref="L164">GetNumByUnit(E164,"衛")</f>
        <v>1</v>
      </c>
      <c r="M164" t="str">
        <f t="shared" si="8"/>
        <v xml:space="preserve">桃園市龜山區文學路  </v>
      </c>
      <c r="N164" t="str">
        <f t="shared" si="9"/>
        <v>桃園市</v>
      </c>
      <c r="O164">
        <f t="shared" si="10"/>
        <v>18500</v>
      </c>
      <c r="P164" t="str">
        <f>_xlfn.XLOOKUP(N164,區隔!$B$3:$B$20,區隔!C$3:C$20,0)</f>
        <v>北部</v>
      </c>
      <c r="Q164" t="str">
        <f>LOOKUP(C164,區隔!$F$3:$F$5,區隔!$E$3:$E$5)</f>
        <v>小坪數</v>
      </c>
      <c r="R164">
        <f t="shared" si="11"/>
        <v>30</v>
      </c>
    </row>
    <row r="165" spans="1:18" x14ac:dyDescent="0.3">
      <c r="A165" s="7" t="s">
        <v>1113</v>
      </c>
      <c r="B165" t="s">
        <v>0</v>
      </c>
      <c r="C165">
        <v>39.200000000000003</v>
      </c>
      <c r="D165" t="s">
        <v>302</v>
      </c>
      <c r="E165" t="s">
        <v>40</v>
      </c>
      <c r="F165" t="s">
        <v>1114</v>
      </c>
      <c r="G165" t="s">
        <v>18</v>
      </c>
      <c r="H165" t="str" cm="1">
        <f t="array" ref="H165:I165">_xlfn.TEXTSPLIT(SUBSTITUTE(D165,"樓",""),"/",,,0)</f>
        <v>4</v>
      </c>
      <c r="I165" t="str">
        <v>17</v>
      </c>
      <c r="J165" cm="1">
        <f t="array" ref="J165">GetNumByUnit(E165,"房")</f>
        <v>4</v>
      </c>
      <c r="K165" cm="1">
        <f t="array" ref="K165">GetNumByUnit(E165,"廳")</f>
        <v>2</v>
      </c>
      <c r="L165" cm="1">
        <f t="array" ref="L165">GetNumByUnit(E165,"衛")</f>
        <v>2</v>
      </c>
      <c r="M165" t="str">
        <f t="shared" si="8"/>
        <v xml:space="preserve">高雄市左營區大順一路  </v>
      </c>
      <c r="N165" t="str">
        <f t="shared" si="9"/>
        <v>高雄市</v>
      </c>
      <c r="O165">
        <f t="shared" si="10"/>
        <v>25000</v>
      </c>
      <c r="P165" t="str">
        <f>_xlfn.XLOOKUP(N165,區隔!$B$3:$B$20,區隔!C$3:C$20,0)</f>
        <v>南部</v>
      </c>
      <c r="Q165" t="str">
        <f>LOOKUP(C165,區隔!$F$3:$F$5,區隔!$E$3:$E$5)</f>
        <v>大坪數</v>
      </c>
      <c r="R165">
        <f t="shared" si="11"/>
        <v>20</v>
      </c>
    </row>
    <row r="166" spans="1:18" x14ac:dyDescent="0.3">
      <c r="A166" s="7" t="s">
        <v>1115</v>
      </c>
      <c r="B166" t="s">
        <v>0</v>
      </c>
      <c r="C166">
        <v>29.41</v>
      </c>
      <c r="D166" t="s">
        <v>83</v>
      </c>
      <c r="E166" t="s">
        <v>35</v>
      </c>
      <c r="F166" t="s">
        <v>507</v>
      </c>
      <c r="G166" t="s">
        <v>115</v>
      </c>
      <c r="H166" t="str" cm="1">
        <f t="array" ref="H166:I166">_xlfn.TEXTSPLIT(SUBSTITUTE(D166,"樓",""),"/",,,0)</f>
        <v>11</v>
      </c>
      <c r="I166" t="str">
        <v>15</v>
      </c>
      <c r="J166" cm="1">
        <f t="array" ref="J166">GetNumByUnit(E166,"房")</f>
        <v>2</v>
      </c>
      <c r="K166" cm="1">
        <f t="array" ref="K166">GetNumByUnit(E166,"廳")</f>
        <v>2</v>
      </c>
      <c r="L166" cm="1">
        <f t="array" ref="L166">GetNumByUnit(E166,"衛")</f>
        <v>1</v>
      </c>
      <c r="M166" t="str">
        <f t="shared" si="8"/>
        <v xml:space="preserve">新北市土城區金城路二段  </v>
      </c>
      <c r="N166" t="str">
        <f t="shared" si="9"/>
        <v>新北市</v>
      </c>
      <c r="O166">
        <f t="shared" si="10"/>
        <v>30000</v>
      </c>
      <c r="P166" t="str">
        <f>_xlfn.XLOOKUP(N166,區隔!$B$3:$B$20,區隔!C$3:C$20,0)</f>
        <v>北部</v>
      </c>
      <c r="Q166" t="str">
        <f>LOOKUP(C166,區隔!$F$3:$F$5,區隔!$E$3:$E$5)</f>
        <v>中坪數</v>
      </c>
      <c r="R166">
        <f t="shared" si="11"/>
        <v>20</v>
      </c>
    </row>
    <row r="167" spans="1:18" x14ac:dyDescent="0.3">
      <c r="A167" s="7" t="s">
        <v>1116</v>
      </c>
      <c r="B167" t="s">
        <v>0</v>
      </c>
      <c r="C167">
        <v>32.51</v>
      </c>
      <c r="D167" t="s">
        <v>76</v>
      </c>
      <c r="E167" t="s">
        <v>35</v>
      </c>
      <c r="F167" t="s">
        <v>1117</v>
      </c>
      <c r="G167" t="s">
        <v>54</v>
      </c>
      <c r="H167" t="str" cm="1">
        <f t="array" ref="H167:I167">_xlfn.TEXTSPLIT(SUBSTITUTE(D167,"樓",""),"/",,,0)</f>
        <v>10</v>
      </c>
      <c r="I167" t="str">
        <v>15</v>
      </c>
      <c r="J167" cm="1">
        <f t="array" ref="J167">GetNumByUnit(E167,"房")</f>
        <v>2</v>
      </c>
      <c r="K167" cm="1">
        <f t="array" ref="K167">GetNumByUnit(E167,"廳")</f>
        <v>2</v>
      </c>
      <c r="L167" cm="1">
        <f t="array" ref="L167">GetNumByUnit(E167,"衛")</f>
        <v>1</v>
      </c>
      <c r="M167" t="str">
        <f t="shared" si="8"/>
        <v xml:space="preserve">台中市西區大忠南街  </v>
      </c>
      <c r="N167" t="str">
        <f t="shared" si="9"/>
        <v>台中市</v>
      </c>
      <c r="O167">
        <f t="shared" si="10"/>
        <v>28000</v>
      </c>
      <c r="P167" t="str">
        <f>_xlfn.XLOOKUP(N167,區隔!$B$3:$B$20,區隔!C$3:C$20,0)</f>
        <v>中部</v>
      </c>
      <c r="Q167" t="str">
        <f>LOOKUP(C167,區隔!$F$3:$F$5,區隔!$E$3:$E$5)</f>
        <v>大坪數</v>
      </c>
      <c r="R167">
        <f t="shared" si="11"/>
        <v>20</v>
      </c>
    </row>
    <row r="168" spans="1:18" x14ac:dyDescent="0.3">
      <c r="A168" s="7" t="s">
        <v>1118</v>
      </c>
      <c r="B168" t="s">
        <v>0</v>
      </c>
      <c r="C168">
        <v>48.42</v>
      </c>
      <c r="D168" t="s">
        <v>1119</v>
      </c>
      <c r="E168" t="s">
        <v>40</v>
      </c>
      <c r="F168" t="s">
        <v>1120</v>
      </c>
      <c r="G168" t="s">
        <v>14</v>
      </c>
      <c r="H168" t="str" cm="1">
        <f t="array" ref="H168:I168">_xlfn.TEXTSPLIT(SUBSTITUTE(D168,"樓",""),"/",,,0)</f>
        <v>10</v>
      </c>
      <c r="I168" t="str">
        <v>28</v>
      </c>
      <c r="J168" cm="1">
        <f t="array" ref="J168">GetNumByUnit(E168,"房")</f>
        <v>4</v>
      </c>
      <c r="K168" cm="1">
        <f t="array" ref="K168">GetNumByUnit(E168,"廳")</f>
        <v>2</v>
      </c>
      <c r="L168" cm="1">
        <f t="array" ref="L168">GetNumByUnit(E168,"衛")</f>
        <v>2</v>
      </c>
      <c r="M168" t="str">
        <f t="shared" si="8"/>
        <v xml:space="preserve">新竹市新竹市北大路  </v>
      </c>
      <c r="N168" t="str">
        <f t="shared" si="9"/>
        <v>新竹市</v>
      </c>
      <c r="O168">
        <f t="shared" si="10"/>
        <v>40000</v>
      </c>
      <c r="P168" t="str">
        <f>_xlfn.XLOOKUP(N168,區隔!$B$3:$B$20,區隔!C$3:C$20,0)</f>
        <v>北部</v>
      </c>
      <c r="Q168" t="str">
        <f>LOOKUP(C168,區隔!$F$3:$F$5,區隔!$E$3:$E$5)</f>
        <v>大坪數</v>
      </c>
      <c r="R168">
        <f t="shared" si="11"/>
        <v>30</v>
      </c>
    </row>
    <row r="169" spans="1:18" x14ac:dyDescent="0.3">
      <c r="A169" s="7" t="s">
        <v>1121</v>
      </c>
      <c r="B169" t="s">
        <v>0</v>
      </c>
      <c r="C169">
        <v>37.35</v>
      </c>
      <c r="D169" t="s">
        <v>578</v>
      </c>
      <c r="E169" t="s">
        <v>29</v>
      </c>
      <c r="F169" t="s">
        <v>1122</v>
      </c>
      <c r="G169" t="s">
        <v>14</v>
      </c>
      <c r="H169" t="str" cm="1">
        <f t="array" ref="H169:I169">_xlfn.TEXTSPLIT(SUBSTITUTE(D169,"樓",""),"/",,,0)</f>
        <v>28</v>
      </c>
      <c r="I169" t="str">
        <v>28</v>
      </c>
      <c r="J169" cm="1">
        <f t="array" ref="J169">GetNumByUnit(E169,"房")</f>
        <v>3</v>
      </c>
      <c r="K169" cm="1">
        <f t="array" ref="K169">GetNumByUnit(E169,"廳")</f>
        <v>2</v>
      </c>
      <c r="L169" cm="1">
        <f t="array" ref="L169">GetNumByUnit(E169,"衛")</f>
        <v>2</v>
      </c>
      <c r="M169" t="str">
        <f t="shared" si="8"/>
        <v xml:space="preserve"> 新竹市新竹市北大路  </v>
      </c>
      <c r="N169" t="str">
        <f t="shared" si="9"/>
        <v>新竹市</v>
      </c>
      <c r="O169">
        <f t="shared" si="10"/>
        <v>40000</v>
      </c>
      <c r="P169" t="str">
        <f>_xlfn.XLOOKUP(N169,區隔!$B$3:$B$20,區隔!C$3:C$20,0)</f>
        <v>北部</v>
      </c>
      <c r="Q169" t="str">
        <f>LOOKUP(C169,區隔!$F$3:$F$5,區隔!$E$3:$E$5)</f>
        <v>大坪數</v>
      </c>
      <c r="R169">
        <f t="shared" si="11"/>
        <v>30</v>
      </c>
    </row>
    <row r="170" spans="1:18" x14ac:dyDescent="0.3">
      <c r="A170" s="7" t="s">
        <v>1123</v>
      </c>
      <c r="B170" t="s">
        <v>0</v>
      </c>
      <c r="C170">
        <v>49.29</v>
      </c>
      <c r="D170" t="s">
        <v>1124</v>
      </c>
      <c r="E170" t="s">
        <v>29</v>
      </c>
      <c r="F170" t="s">
        <v>554</v>
      </c>
      <c r="G170" t="s">
        <v>112</v>
      </c>
      <c r="H170" t="str" cm="1">
        <f t="array" ref="H170:I170">_xlfn.TEXTSPLIT(SUBSTITUTE(D170,"樓",""),"/",,,0)</f>
        <v>11</v>
      </c>
      <c r="I170" t="str">
        <v>19</v>
      </c>
      <c r="J170" cm="1">
        <f t="array" ref="J170">GetNumByUnit(E170,"房")</f>
        <v>3</v>
      </c>
      <c r="K170" cm="1">
        <f t="array" ref="K170">GetNumByUnit(E170,"廳")</f>
        <v>2</v>
      </c>
      <c r="L170" cm="1">
        <f t="array" ref="L170">GetNumByUnit(E170,"衛")</f>
        <v>2</v>
      </c>
      <c r="M170" t="str">
        <f t="shared" si="8"/>
        <v xml:space="preserve">台中市西屯區黎明路三段  </v>
      </c>
      <c r="N170" t="str">
        <f t="shared" si="9"/>
        <v>台中市</v>
      </c>
      <c r="O170">
        <f t="shared" si="10"/>
        <v>35000</v>
      </c>
      <c r="P170" t="str">
        <f>_xlfn.XLOOKUP(N170,區隔!$B$3:$B$20,區隔!C$3:C$20,0)</f>
        <v>中部</v>
      </c>
      <c r="Q170" t="str">
        <f>LOOKUP(C170,區隔!$F$3:$F$5,區隔!$E$3:$E$5)</f>
        <v>大坪數</v>
      </c>
      <c r="R170">
        <f t="shared" si="11"/>
        <v>20</v>
      </c>
    </row>
    <row r="171" spans="1:18" x14ac:dyDescent="0.3">
      <c r="A171" s="7" t="s">
        <v>1125</v>
      </c>
      <c r="B171" t="s">
        <v>0</v>
      </c>
      <c r="C171">
        <v>49.29</v>
      </c>
      <c r="D171" t="s">
        <v>210</v>
      </c>
      <c r="E171" t="s">
        <v>29</v>
      </c>
      <c r="F171" t="s">
        <v>554</v>
      </c>
      <c r="G171" t="s">
        <v>22</v>
      </c>
      <c r="H171" t="str" cm="1">
        <f t="array" ref="H171:I171">_xlfn.TEXTSPLIT(SUBSTITUTE(D171,"樓",""),"/",,,0)</f>
        <v>17</v>
      </c>
      <c r="I171" t="str">
        <v>19</v>
      </c>
      <c r="J171" cm="1">
        <f t="array" ref="J171">GetNumByUnit(E171,"房")</f>
        <v>3</v>
      </c>
      <c r="K171" cm="1">
        <f t="array" ref="K171">GetNumByUnit(E171,"廳")</f>
        <v>2</v>
      </c>
      <c r="L171" cm="1">
        <f t="array" ref="L171">GetNumByUnit(E171,"衛")</f>
        <v>2</v>
      </c>
      <c r="M171" t="str">
        <f t="shared" si="8"/>
        <v xml:space="preserve">台中市西屯區黎明路三段  </v>
      </c>
      <c r="N171" t="str">
        <f t="shared" si="9"/>
        <v>台中市</v>
      </c>
      <c r="O171">
        <f t="shared" si="10"/>
        <v>45000</v>
      </c>
      <c r="P171" t="str">
        <f>_xlfn.XLOOKUP(N171,區隔!$B$3:$B$20,區隔!C$3:C$20,0)</f>
        <v>中部</v>
      </c>
      <c r="Q171" t="str">
        <f>LOOKUP(C171,區隔!$F$3:$F$5,區隔!$E$3:$E$5)</f>
        <v>大坪數</v>
      </c>
      <c r="R171">
        <f t="shared" si="11"/>
        <v>20</v>
      </c>
    </row>
    <row r="172" spans="1:18" x14ac:dyDescent="0.3">
      <c r="A172" s="7" t="s">
        <v>1126</v>
      </c>
      <c r="B172" t="s">
        <v>0</v>
      </c>
      <c r="C172">
        <v>36.840000000000003</v>
      </c>
      <c r="D172" t="s">
        <v>217</v>
      </c>
      <c r="E172" t="s">
        <v>95</v>
      </c>
      <c r="F172" t="s">
        <v>1127</v>
      </c>
      <c r="G172" t="s">
        <v>1128</v>
      </c>
      <c r="H172" t="str" cm="1">
        <f t="array" ref="H172:I172">_xlfn.TEXTSPLIT(SUBSTITUTE(D172,"樓",""),"/",,,0)</f>
        <v>3</v>
      </c>
      <c r="I172" t="str">
        <v>13</v>
      </c>
      <c r="J172" cm="1">
        <f t="array" ref="J172">GetNumByUnit(E172,"房")</f>
        <v>3</v>
      </c>
      <c r="K172" cm="1">
        <f t="array" ref="K172">GetNumByUnit(E172,"廳")</f>
        <v>2</v>
      </c>
      <c r="L172" cm="1">
        <f t="array" ref="L172">GetNumByUnit(E172,"衛")</f>
        <v>1</v>
      </c>
      <c r="M172" t="str">
        <f t="shared" si="8"/>
        <v xml:space="preserve"> 台北市中山區林森北路  </v>
      </c>
      <c r="N172" t="str">
        <f t="shared" si="9"/>
        <v>台北市</v>
      </c>
      <c r="O172">
        <f t="shared" si="10"/>
        <v>68300</v>
      </c>
      <c r="P172" t="str">
        <f>_xlfn.XLOOKUP(N172,區隔!$B$3:$B$20,區隔!C$3:C$20,0)</f>
        <v>北部</v>
      </c>
      <c r="Q172" t="str">
        <f>LOOKUP(C172,區隔!$F$3:$F$5,區隔!$E$3:$E$5)</f>
        <v>大坪數</v>
      </c>
      <c r="R172">
        <f t="shared" si="11"/>
        <v>20</v>
      </c>
    </row>
    <row r="173" spans="1:18" x14ac:dyDescent="0.3">
      <c r="A173" s="7" t="s">
        <v>1129</v>
      </c>
      <c r="B173" t="s">
        <v>0</v>
      </c>
      <c r="C173">
        <v>59.54</v>
      </c>
      <c r="D173" t="s">
        <v>664</v>
      </c>
      <c r="E173" t="s">
        <v>29</v>
      </c>
      <c r="F173" t="s">
        <v>1130</v>
      </c>
      <c r="G173" t="s">
        <v>100</v>
      </c>
      <c r="H173" t="str" cm="1">
        <f t="array" ref="H173:I173">_xlfn.TEXTSPLIT(SUBSTITUTE(D173,"樓",""),"/",,,0)</f>
        <v>12</v>
      </c>
      <c r="I173" t="str">
        <v>29</v>
      </c>
      <c r="J173" cm="1">
        <f t="array" ref="J173">GetNumByUnit(E173,"房")</f>
        <v>3</v>
      </c>
      <c r="K173" cm="1">
        <f t="array" ref="K173">GetNumByUnit(E173,"廳")</f>
        <v>2</v>
      </c>
      <c r="L173" cm="1">
        <f t="array" ref="L173">GetNumByUnit(E173,"衛")</f>
        <v>2</v>
      </c>
      <c r="M173" t="str">
        <f t="shared" si="8"/>
        <v xml:space="preserve">台中市西區館前路  </v>
      </c>
      <c r="N173" t="str">
        <f t="shared" si="9"/>
        <v>台中市</v>
      </c>
      <c r="O173">
        <f t="shared" si="10"/>
        <v>41000</v>
      </c>
      <c r="P173" t="str">
        <f>_xlfn.XLOOKUP(N173,區隔!$B$3:$B$20,區隔!C$3:C$20,0)</f>
        <v>中部</v>
      </c>
      <c r="Q173" t="str">
        <f>LOOKUP(C173,區隔!$F$3:$F$5,區隔!$E$3:$E$5)</f>
        <v>大坪數</v>
      </c>
      <c r="R173">
        <f t="shared" si="11"/>
        <v>30</v>
      </c>
    </row>
    <row r="174" spans="1:18" x14ac:dyDescent="0.3">
      <c r="A174" s="7" t="s">
        <v>1131</v>
      </c>
      <c r="B174" t="s">
        <v>0</v>
      </c>
      <c r="C174">
        <v>45.01</v>
      </c>
      <c r="D174" t="s">
        <v>55</v>
      </c>
      <c r="E174" t="s">
        <v>29</v>
      </c>
      <c r="F174" t="s">
        <v>476</v>
      </c>
      <c r="G174" t="s">
        <v>54</v>
      </c>
      <c r="H174" t="str" cm="1">
        <f t="array" ref="H174:I174">_xlfn.TEXTSPLIT(SUBSTITUTE(D174,"樓",""),"/",,,0)</f>
        <v>8</v>
      </c>
      <c r="I174" t="str">
        <v>15</v>
      </c>
      <c r="J174" cm="1">
        <f t="array" ref="J174">GetNumByUnit(E174,"房")</f>
        <v>3</v>
      </c>
      <c r="K174" cm="1">
        <f t="array" ref="K174">GetNumByUnit(E174,"廳")</f>
        <v>2</v>
      </c>
      <c r="L174" cm="1">
        <f t="array" ref="L174">GetNumByUnit(E174,"衛")</f>
        <v>2</v>
      </c>
      <c r="M174" t="str">
        <f t="shared" si="8"/>
        <v xml:space="preserve">高雄市新興區復橫一路  </v>
      </c>
      <c r="N174" t="str">
        <f t="shared" si="9"/>
        <v>高雄市</v>
      </c>
      <c r="O174">
        <f t="shared" si="10"/>
        <v>28000</v>
      </c>
      <c r="P174" t="str">
        <f>_xlfn.XLOOKUP(N174,區隔!$B$3:$B$20,區隔!C$3:C$20,0)</f>
        <v>南部</v>
      </c>
      <c r="Q174" t="str">
        <f>LOOKUP(C174,區隔!$F$3:$F$5,區隔!$E$3:$E$5)</f>
        <v>大坪數</v>
      </c>
      <c r="R174">
        <f t="shared" si="11"/>
        <v>20</v>
      </c>
    </row>
    <row r="175" spans="1:18" x14ac:dyDescent="0.3">
      <c r="A175" s="7" t="s">
        <v>689</v>
      </c>
      <c r="B175" t="s">
        <v>0</v>
      </c>
      <c r="C175">
        <v>41.83</v>
      </c>
      <c r="D175" t="s">
        <v>167</v>
      </c>
      <c r="E175" t="s">
        <v>29</v>
      </c>
      <c r="F175" t="s">
        <v>438</v>
      </c>
      <c r="G175" t="s">
        <v>185</v>
      </c>
      <c r="H175" t="str" cm="1">
        <f t="array" ref="H175:I175">_xlfn.TEXTSPLIT(SUBSTITUTE(D175,"樓",""),"/",,,0)</f>
        <v>7</v>
      </c>
      <c r="I175" t="str">
        <v>12</v>
      </c>
      <c r="J175" cm="1">
        <f t="array" ref="J175">GetNumByUnit(E175,"房")</f>
        <v>3</v>
      </c>
      <c r="K175" cm="1">
        <f t="array" ref="K175">GetNumByUnit(E175,"廳")</f>
        <v>2</v>
      </c>
      <c r="L175" cm="1">
        <f t="array" ref="L175">GetNumByUnit(E175,"衛")</f>
        <v>2</v>
      </c>
      <c r="M175" t="str">
        <f t="shared" si="8"/>
        <v xml:space="preserve">台中市西屯區國安一路  </v>
      </c>
      <c r="N175" t="str">
        <f t="shared" si="9"/>
        <v>台中市</v>
      </c>
      <c r="O175">
        <f t="shared" si="10"/>
        <v>20000</v>
      </c>
      <c r="P175" t="str">
        <f>_xlfn.XLOOKUP(N175,區隔!$B$3:$B$20,區隔!C$3:C$20,0)</f>
        <v>中部</v>
      </c>
      <c r="Q175" t="str">
        <f>LOOKUP(C175,區隔!$F$3:$F$5,區隔!$E$3:$E$5)</f>
        <v>大坪數</v>
      </c>
      <c r="R175">
        <f t="shared" si="11"/>
        <v>20</v>
      </c>
    </row>
    <row r="176" spans="1:18" x14ac:dyDescent="0.3">
      <c r="A176" s="7" t="s">
        <v>1132</v>
      </c>
      <c r="B176" t="s">
        <v>0</v>
      </c>
      <c r="C176">
        <v>80.209999999999994</v>
      </c>
      <c r="D176" t="s">
        <v>605</v>
      </c>
      <c r="E176" t="s">
        <v>40</v>
      </c>
      <c r="F176" t="s">
        <v>549</v>
      </c>
      <c r="G176" t="s">
        <v>14</v>
      </c>
      <c r="H176" t="str" cm="1">
        <f t="array" ref="H176:I176">_xlfn.TEXTSPLIT(SUBSTITUTE(D176,"樓",""),"/",,,0)</f>
        <v>15</v>
      </c>
      <c r="I176" t="str">
        <v>25</v>
      </c>
      <c r="J176" cm="1">
        <f t="array" ref="J176">GetNumByUnit(E176,"房")</f>
        <v>4</v>
      </c>
      <c r="K176" cm="1">
        <f t="array" ref="K176">GetNumByUnit(E176,"廳")</f>
        <v>2</v>
      </c>
      <c r="L176" cm="1">
        <f t="array" ref="L176">GetNumByUnit(E176,"衛")</f>
        <v>2</v>
      </c>
      <c r="M176" t="str">
        <f t="shared" si="8"/>
        <v xml:space="preserve">台南市東區長榮路一段  </v>
      </c>
      <c r="N176" t="str">
        <f t="shared" si="9"/>
        <v>台南市</v>
      </c>
      <c r="O176">
        <f t="shared" si="10"/>
        <v>40000</v>
      </c>
      <c r="P176" t="str">
        <f>_xlfn.XLOOKUP(N176,區隔!$B$3:$B$20,區隔!C$3:C$20,0)</f>
        <v>南部</v>
      </c>
      <c r="Q176" t="str">
        <f>LOOKUP(C176,區隔!$F$3:$F$5,區隔!$E$3:$E$5)</f>
        <v>大坪數</v>
      </c>
      <c r="R176">
        <f t="shared" si="11"/>
        <v>30</v>
      </c>
    </row>
    <row r="177" spans="1:18" x14ac:dyDescent="0.3">
      <c r="A177" s="7" t="s">
        <v>1133</v>
      </c>
      <c r="B177" t="s">
        <v>0</v>
      </c>
      <c r="C177">
        <v>40.53</v>
      </c>
      <c r="D177" t="s">
        <v>237</v>
      </c>
      <c r="E177" t="s">
        <v>29</v>
      </c>
      <c r="F177" t="s">
        <v>1134</v>
      </c>
      <c r="G177" t="s">
        <v>203</v>
      </c>
      <c r="H177" t="str" cm="1">
        <f t="array" ref="H177:I177">_xlfn.TEXTSPLIT(SUBSTITUTE(D177,"樓",""),"/",,,0)</f>
        <v>11</v>
      </c>
      <c r="I177" t="str">
        <v>18</v>
      </c>
      <c r="J177" cm="1">
        <f t="array" ref="J177">GetNumByUnit(E177,"房")</f>
        <v>3</v>
      </c>
      <c r="K177" cm="1">
        <f t="array" ref="K177">GetNumByUnit(E177,"廳")</f>
        <v>2</v>
      </c>
      <c r="L177" cm="1">
        <f t="array" ref="L177">GetNumByUnit(E177,"衛")</f>
        <v>2</v>
      </c>
      <c r="M177" t="str">
        <f t="shared" si="8"/>
        <v xml:space="preserve">新北市中和區四維街  </v>
      </c>
      <c r="N177" t="str">
        <f t="shared" si="9"/>
        <v>新北市</v>
      </c>
      <c r="O177">
        <f t="shared" si="10"/>
        <v>37000</v>
      </c>
      <c r="P177" t="str">
        <f>_xlfn.XLOOKUP(N177,區隔!$B$3:$B$20,區隔!C$3:C$20,0)</f>
        <v>北部</v>
      </c>
      <c r="Q177" t="str">
        <f>LOOKUP(C177,區隔!$F$3:$F$5,區隔!$E$3:$E$5)</f>
        <v>大坪數</v>
      </c>
      <c r="R177">
        <f t="shared" si="11"/>
        <v>20</v>
      </c>
    </row>
    <row r="178" spans="1:18" x14ac:dyDescent="0.3">
      <c r="A178" s="7" t="s">
        <v>1135</v>
      </c>
      <c r="B178" t="s">
        <v>0</v>
      </c>
      <c r="C178">
        <v>63.1</v>
      </c>
      <c r="D178" t="s">
        <v>579</v>
      </c>
      <c r="E178" t="s">
        <v>93</v>
      </c>
      <c r="F178" t="s">
        <v>1136</v>
      </c>
      <c r="G178" t="s">
        <v>285</v>
      </c>
      <c r="H178" t="str" cm="1">
        <f t="array" ref="H178:I178">_xlfn.TEXTSPLIT(SUBSTITUTE(D178,"樓",""),"/",,,0)</f>
        <v>22</v>
      </c>
      <c r="I178" t="str">
        <v>27</v>
      </c>
      <c r="J178" cm="1">
        <f t="array" ref="J178">GetNumByUnit(E178,"房")</f>
        <v>4</v>
      </c>
      <c r="K178" cm="1">
        <f t="array" ref="K178">GetNumByUnit(E178,"廳")</f>
        <v>2</v>
      </c>
      <c r="L178" cm="1">
        <f t="array" ref="L178">GetNumByUnit(E178,"衛")</f>
        <v>3</v>
      </c>
      <c r="M178" t="str">
        <f t="shared" si="8"/>
        <v xml:space="preserve">新北市三重區疏洪西路  </v>
      </c>
      <c r="N178" t="str">
        <f t="shared" si="9"/>
        <v>新北市</v>
      </c>
      <c r="O178">
        <f t="shared" si="10"/>
        <v>69800</v>
      </c>
      <c r="P178" t="str">
        <f>_xlfn.XLOOKUP(N178,區隔!$B$3:$B$20,區隔!C$3:C$20,0)</f>
        <v>北部</v>
      </c>
      <c r="Q178" t="str">
        <f>LOOKUP(C178,區隔!$F$3:$F$5,區隔!$E$3:$E$5)</f>
        <v>大坪數</v>
      </c>
      <c r="R178">
        <f t="shared" si="11"/>
        <v>30</v>
      </c>
    </row>
    <row r="179" spans="1:18" x14ac:dyDescent="0.3">
      <c r="A179" s="7" t="s">
        <v>1137</v>
      </c>
      <c r="B179" t="s">
        <v>0</v>
      </c>
      <c r="C179">
        <v>42.65</v>
      </c>
      <c r="D179" t="s">
        <v>579</v>
      </c>
      <c r="E179" t="s">
        <v>29</v>
      </c>
      <c r="F179" t="s">
        <v>1136</v>
      </c>
      <c r="G179" t="s">
        <v>1138</v>
      </c>
      <c r="H179" t="str" cm="1">
        <f t="array" ref="H179:I179">_xlfn.TEXTSPLIT(SUBSTITUTE(D179,"樓",""),"/",,,0)</f>
        <v>22</v>
      </c>
      <c r="I179" t="str">
        <v>27</v>
      </c>
      <c r="J179" cm="1">
        <f t="array" ref="J179">GetNumByUnit(E179,"房")</f>
        <v>3</v>
      </c>
      <c r="K179" cm="1">
        <f t="array" ref="K179">GetNumByUnit(E179,"廳")</f>
        <v>2</v>
      </c>
      <c r="L179" cm="1">
        <f t="array" ref="L179">GetNumByUnit(E179,"衛")</f>
        <v>2</v>
      </c>
      <c r="M179" t="str">
        <f t="shared" si="8"/>
        <v xml:space="preserve">新北市三重區疏洪西路  </v>
      </c>
      <c r="N179" t="str">
        <f t="shared" si="9"/>
        <v>新北市</v>
      </c>
      <c r="O179">
        <f t="shared" si="10"/>
        <v>46800</v>
      </c>
      <c r="P179" t="str">
        <f>_xlfn.XLOOKUP(N179,區隔!$B$3:$B$20,區隔!C$3:C$20,0)</f>
        <v>北部</v>
      </c>
      <c r="Q179" t="str">
        <f>LOOKUP(C179,區隔!$F$3:$F$5,區隔!$E$3:$E$5)</f>
        <v>大坪數</v>
      </c>
      <c r="R179">
        <f t="shared" si="11"/>
        <v>30</v>
      </c>
    </row>
    <row r="180" spans="1:18" x14ac:dyDescent="0.3">
      <c r="A180" s="7" t="s">
        <v>1139</v>
      </c>
      <c r="B180" t="s">
        <v>0</v>
      </c>
      <c r="C180">
        <v>9.1300000000000008</v>
      </c>
      <c r="D180" t="s">
        <v>164</v>
      </c>
      <c r="E180" t="s">
        <v>56</v>
      </c>
      <c r="F180" t="s">
        <v>130</v>
      </c>
      <c r="G180" t="s">
        <v>116</v>
      </c>
      <c r="H180" t="str" cm="1">
        <f t="array" ref="H180:I180">_xlfn.TEXTSPLIT(SUBSTITUTE(D180,"樓",""),"/",,,0)</f>
        <v>2</v>
      </c>
      <c r="I180" t="str">
        <v>6</v>
      </c>
      <c r="J180" t="str" cm="1">
        <f t="array" ref="J180">GetNumByUnit(E180,"房")</f>
        <v/>
      </c>
      <c r="K180" cm="1">
        <f t="array" ref="K180">GetNumByUnit(E180,"廳")</f>
        <v>1</v>
      </c>
      <c r="L180" cm="1">
        <f t="array" ref="L180">GetNumByUnit(E180,"衛")</f>
        <v>1</v>
      </c>
      <c r="M180" t="str">
        <f t="shared" si="8"/>
        <v xml:space="preserve">台北市松山區八德路二段  </v>
      </c>
      <c r="N180" t="str">
        <f t="shared" si="9"/>
        <v>台北市</v>
      </c>
      <c r="O180">
        <f t="shared" si="10"/>
        <v>23000</v>
      </c>
      <c r="P180" t="str">
        <f>_xlfn.XLOOKUP(N180,區隔!$B$3:$B$20,區隔!C$3:C$20,0)</f>
        <v>北部</v>
      </c>
      <c r="Q180" t="str">
        <f>LOOKUP(C180,區隔!$F$3:$F$5,區隔!$E$3:$E$5)</f>
        <v>小坪數</v>
      </c>
      <c r="R180">
        <f t="shared" si="11"/>
        <v>10</v>
      </c>
    </row>
    <row r="181" spans="1:18" x14ac:dyDescent="0.3">
      <c r="A181" s="7" t="s">
        <v>1140</v>
      </c>
      <c r="B181" t="s">
        <v>0</v>
      </c>
      <c r="C181">
        <v>55.62</v>
      </c>
      <c r="D181" t="s">
        <v>313</v>
      </c>
      <c r="E181" t="s">
        <v>29</v>
      </c>
      <c r="F181" t="s">
        <v>414</v>
      </c>
      <c r="G181" t="s">
        <v>228</v>
      </c>
      <c r="H181" t="str" cm="1">
        <f t="array" ref="H181:I181">_xlfn.TEXTSPLIT(SUBSTITUTE(D181,"樓",""),"/",,,0)</f>
        <v>16</v>
      </c>
      <c r="I181" t="str">
        <v>23</v>
      </c>
      <c r="J181" cm="1">
        <f t="array" ref="J181">GetNumByUnit(E181,"房")</f>
        <v>3</v>
      </c>
      <c r="K181" cm="1">
        <f t="array" ref="K181">GetNumByUnit(E181,"廳")</f>
        <v>2</v>
      </c>
      <c r="L181" cm="1">
        <f t="array" ref="L181">GetNumByUnit(E181,"衛")</f>
        <v>2</v>
      </c>
      <c r="M181" t="str">
        <f t="shared" si="8"/>
        <v xml:space="preserve">新竹縣竹北市莊敬五街  </v>
      </c>
      <c r="N181" t="str">
        <f t="shared" si="9"/>
        <v>新竹縣</v>
      </c>
      <c r="O181">
        <f t="shared" si="10"/>
        <v>34000</v>
      </c>
      <c r="P181" t="str">
        <f>_xlfn.XLOOKUP(N181,區隔!$B$3:$B$20,區隔!C$3:C$20,0)</f>
        <v>北部</v>
      </c>
      <c r="Q181" t="str">
        <f>LOOKUP(C181,區隔!$F$3:$F$5,區隔!$E$3:$E$5)</f>
        <v>大坪數</v>
      </c>
      <c r="R181">
        <f t="shared" si="11"/>
        <v>30</v>
      </c>
    </row>
    <row r="182" spans="1:18" x14ac:dyDescent="0.3">
      <c r="A182" s="7" t="s">
        <v>1141</v>
      </c>
      <c r="B182" t="s">
        <v>0</v>
      </c>
      <c r="C182">
        <v>35.94</v>
      </c>
      <c r="D182" t="s">
        <v>37</v>
      </c>
      <c r="E182" t="s">
        <v>194</v>
      </c>
      <c r="F182" t="s">
        <v>1142</v>
      </c>
      <c r="G182" t="s">
        <v>15</v>
      </c>
      <c r="H182" t="str" cm="1">
        <f t="array" ref="H182:I182">_xlfn.TEXTSPLIT(SUBSTITUTE(D182,"樓",""),"/",,,0)</f>
        <v>5</v>
      </c>
      <c r="I182" t="str">
        <v>5</v>
      </c>
      <c r="J182" cm="1">
        <f t="array" ref="J182">GetNumByUnit(E182,"房")</f>
        <v>3</v>
      </c>
      <c r="K182" cm="1">
        <f t="array" ref="K182">GetNumByUnit(E182,"廳")</f>
        <v>2</v>
      </c>
      <c r="L182" cm="1">
        <f t="array" ref="L182">GetNumByUnit(E182,"衛")</f>
        <v>5</v>
      </c>
      <c r="M182" t="str">
        <f t="shared" si="8"/>
        <v xml:space="preserve">台北市信義區和平東路三段  </v>
      </c>
      <c r="N182" t="str">
        <f t="shared" si="9"/>
        <v>台北市</v>
      </c>
      <c r="O182">
        <f t="shared" si="10"/>
        <v>32000</v>
      </c>
      <c r="P182" t="str">
        <f>_xlfn.XLOOKUP(N182,區隔!$B$3:$B$20,區隔!C$3:C$20,0)</f>
        <v>北部</v>
      </c>
      <c r="Q182" t="str">
        <f>LOOKUP(C182,區隔!$F$3:$F$5,區隔!$E$3:$E$5)</f>
        <v>大坪數</v>
      </c>
      <c r="R182">
        <f t="shared" si="11"/>
        <v>10</v>
      </c>
    </row>
    <row r="183" spans="1:18" x14ac:dyDescent="0.3">
      <c r="A183" s="7" t="s">
        <v>1143</v>
      </c>
      <c r="B183" t="s">
        <v>0</v>
      </c>
      <c r="C183">
        <v>35.79</v>
      </c>
      <c r="D183" t="s">
        <v>131</v>
      </c>
      <c r="E183" t="s">
        <v>72</v>
      </c>
      <c r="F183" t="s">
        <v>1144</v>
      </c>
      <c r="G183" t="s">
        <v>168</v>
      </c>
      <c r="H183" t="str" cm="1">
        <f t="array" ref="H183:I183">_xlfn.TEXTSPLIT(SUBSTITUTE(D183,"樓",""),"/",,,0)</f>
        <v>2</v>
      </c>
      <c r="I183" t="str">
        <v>12</v>
      </c>
      <c r="J183" cm="1">
        <f t="array" ref="J183">GetNumByUnit(E183,"房")</f>
        <v>2</v>
      </c>
      <c r="K183" cm="1">
        <f t="array" ref="K183">GetNumByUnit(E183,"廳")</f>
        <v>1</v>
      </c>
      <c r="L183" cm="1">
        <f t="array" ref="L183">GetNumByUnit(E183,"衛")</f>
        <v>1</v>
      </c>
      <c r="M183" t="str">
        <f t="shared" si="8"/>
        <v xml:space="preserve">新北市三重區成功二街  </v>
      </c>
      <c r="N183" t="str">
        <f t="shared" si="9"/>
        <v>新北市</v>
      </c>
      <c r="O183">
        <f t="shared" si="10"/>
        <v>33000</v>
      </c>
      <c r="P183" t="str">
        <f>_xlfn.XLOOKUP(N183,區隔!$B$3:$B$20,區隔!C$3:C$20,0)</f>
        <v>北部</v>
      </c>
      <c r="Q183" t="str">
        <f>LOOKUP(C183,區隔!$F$3:$F$5,區隔!$E$3:$E$5)</f>
        <v>大坪數</v>
      </c>
      <c r="R183">
        <f t="shared" si="11"/>
        <v>20</v>
      </c>
    </row>
    <row r="184" spans="1:18" x14ac:dyDescent="0.3">
      <c r="A184" s="7" t="s">
        <v>1145</v>
      </c>
      <c r="B184" t="s">
        <v>0</v>
      </c>
      <c r="C184">
        <v>58.42</v>
      </c>
      <c r="D184" t="s">
        <v>271</v>
      </c>
      <c r="E184" t="s">
        <v>27</v>
      </c>
      <c r="F184" t="s">
        <v>1146</v>
      </c>
      <c r="G184" t="s">
        <v>259</v>
      </c>
      <c r="H184" t="str" cm="1">
        <f t="array" ref="H184:I184">_xlfn.TEXTSPLIT(SUBSTITUTE(D184,"樓",""),"/",,,0)</f>
        <v>6</v>
      </c>
      <c r="I184" t="str">
        <v>23</v>
      </c>
      <c r="J184" cm="1">
        <f t="array" ref="J184">GetNumByUnit(E184,"房")</f>
        <v>2</v>
      </c>
      <c r="K184" cm="1">
        <f t="array" ref="K184">GetNumByUnit(E184,"廳")</f>
        <v>2</v>
      </c>
      <c r="L184" cm="1">
        <f t="array" ref="L184">GetNumByUnit(E184,"衛")</f>
        <v>2</v>
      </c>
      <c r="M184" t="str">
        <f t="shared" si="8"/>
        <v xml:space="preserve">台北市萬華區德昌街  </v>
      </c>
      <c r="N184" t="str">
        <f t="shared" si="9"/>
        <v>台北市</v>
      </c>
      <c r="O184">
        <f t="shared" si="10"/>
        <v>69000</v>
      </c>
      <c r="P184" t="str">
        <f>_xlfn.XLOOKUP(N184,區隔!$B$3:$B$20,區隔!C$3:C$20,0)</f>
        <v>北部</v>
      </c>
      <c r="Q184" t="str">
        <f>LOOKUP(C184,區隔!$F$3:$F$5,區隔!$E$3:$E$5)</f>
        <v>大坪數</v>
      </c>
      <c r="R184">
        <f t="shared" si="11"/>
        <v>30</v>
      </c>
    </row>
    <row r="185" spans="1:18" x14ac:dyDescent="0.3">
      <c r="A185" s="7" t="s">
        <v>1147</v>
      </c>
      <c r="B185" t="s">
        <v>0</v>
      </c>
      <c r="C185">
        <v>42.97</v>
      </c>
      <c r="D185" t="s">
        <v>444</v>
      </c>
      <c r="E185" t="s">
        <v>29</v>
      </c>
      <c r="F185" t="s">
        <v>1148</v>
      </c>
      <c r="G185" t="s">
        <v>239</v>
      </c>
      <c r="H185" t="str" cm="1">
        <f t="array" ref="H185:I185">_xlfn.TEXTSPLIT(SUBSTITUTE(D185,"樓",""),"/",,,0)</f>
        <v>16</v>
      </c>
      <c r="I185" t="str">
        <v>26</v>
      </c>
      <c r="J185" cm="1">
        <f t="array" ref="J185">GetNumByUnit(E185,"房")</f>
        <v>3</v>
      </c>
      <c r="K185" cm="1">
        <f t="array" ref="K185">GetNumByUnit(E185,"廳")</f>
        <v>2</v>
      </c>
      <c r="L185" cm="1">
        <f t="array" ref="L185">GetNumByUnit(E185,"衛")</f>
        <v>2</v>
      </c>
      <c r="M185" t="str">
        <f t="shared" si="8"/>
        <v xml:space="preserve">高雄市三民區慶雲街  </v>
      </c>
      <c r="N185" t="str">
        <f t="shared" si="9"/>
        <v>高雄市</v>
      </c>
      <c r="O185">
        <f t="shared" si="10"/>
        <v>18500</v>
      </c>
      <c r="P185" t="str">
        <f>_xlfn.XLOOKUP(N185,區隔!$B$3:$B$20,區隔!C$3:C$20,0)</f>
        <v>南部</v>
      </c>
      <c r="Q185" t="str">
        <f>LOOKUP(C185,區隔!$F$3:$F$5,區隔!$E$3:$E$5)</f>
        <v>大坪數</v>
      </c>
      <c r="R185">
        <f t="shared" si="11"/>
        <v>30</v>
      </c>
    </row>
    <row r="186" spans="1:18" x14ac:dyDescent="0.3">
      <c r="A186" s="7" t="s">
        <v>1149</v>
      </c>
      <c r="B186" t="s">
        <v>0</v>
      </c>
      <c r="C186">
        <v>38.89</v>
      </c>
      <c r="D186" t="s">
        <v>252</v>
      </c>
      <c r="E186" t="s">
        <v>29</v>
      </c>
      <c r="F186" t="s">
        <v>1150</v>
      </c>
      <c r="G186" t="s">
        <v>273</v>
      </c>
      <c r="H186" t="str" cm="1">
        <f t="array" ref="H186:I186">_xlfn.TEXTSPLIT(SUBSTITUTE(D186,"樓",""),"/",,,0)</f>
        <v>5</v>
      </c>
      <c r="I186" t="str">
        <v>14</v>
      </c>
      <c r="J186" cm="1">
        <f t="array" ref="J186">GetNumByUnit(E186,"房")</f>
        <v>3</v>
      </c>
      <c r="K186" cm="1">
        <f t="array" ref="K186">GetNumByUnit(E186,"廳")</f>
        <v>2</v>
      </c>
      <c r="L186" cm="1">
        <f t="array" ref="L186">GetNumByUnit(E186,"衛")</f>
        <v>2</v>
      </c>
      <c r="M186" t="str">
        <f t="shared" si="8"/>
        <v xml:space="preserve">台南市東區崇善路  </v>
      </c>
      <c r="N186" t="str">
        <f t="shared" si="9"/>
        <v>台南市</v>
      </c>
      <c r="O186">
        <f t="shared" si="10"/>
        <v>26000</v>
      </c>
      <c r="P186" t="str">
        <f>_xlfn.XLOOKUP(N186,區隔!$B$3:$B$20,區隔!C$3:C$20,0)</f>
        <v>南部</v>
      </c>
      <c r="Q186" t="str">
        <f>LOOKUP(C186,區隔!$F$3:$F$5,區隔!$E$3:$E$5)</f>
        <v>大坪數</v>
      </c>
      <c r="R186">
        <f t="shared" si="11"/>
        <v>20</v>
      </c>
    </row>
    <row r="187" spans="1:18" x14ac:dyDescent="0.3">
      <c r="A187" s="7" t="s">
        <v>1151</v>
      </c>
      <c r="B187" t="s">
        <v>0</v>
      </c>
      <c r="C187">
        <v>24.43</v>
      </c>
      <c r="D187" t="s">
        <v>173</v>
      </c>
      <c r="E187" t="s">
        <v>95</v>
      </c>
      <c r="F187" t="s">
        <v>1152</v>
      </c>
      <c r="G187" t="s">
        <v>116</v>
      </c>
      <c r="H187" t="str" cm="1">
        <f t="array" ref="H187:I187">_xlfn.TEXTSPLIT(SUBSTITUTE(D187,"樓",""),"/",,,0)</f>
        <v>3</v>
      </c>
      <c r="I187" t="str">
        <v>4</v>
      </c>
      <c r="J187" cm="1">
        <f t="array" ref="J187">GetNumByUnit(E187,"房")</f>
        <v>3</v>
      </c>
      <c r="K187" cm="1">
        <f t="array" ref="K187">GetNumByUnit(E187,"廳")</f>
        <v>2</v>
      </c>
      <c r="L187" cm="1">
        <f t="array" ref="L187">GetNumByUnit(E187,"衛")</f>
        <v>1</v>
      </c>
      <c r="M187" t="str">
        <f t="shared" si="8"/>
        <v xml:space="preserve">台北市文山區辛亥路七段  </v>
      </c>
      <c r="N187" t="str">
        <f t="shared" si="9"/>
        <v>台北市</v>
      </c>
      <c r="O187">
        <f t="shared" si="10"/>
        <v>23000</v>
      </c>
      <c r="P187" t="str">
        <f>_xlfn.XLOOKUP(N187,區隔!$B$3:$B$20,區隔!C$3:C$20,0)</f>
        <v>北部</v>
      </c>
      <c r="Q187" t="str">
        <f>LOOKUP(C187,區隔!$F$3:$F$5,區隔!$E$3:$E$5)</f>
        <v>中坪數</v>
      </c>
      <c r="R187">
        <f t="shared" si="11"/>
        <v>10</v>
      </c>
    </row>
    <row r="188" spans="1:18" x14ac:dyDescent="0.3">
      <c r="A188" s="7" t="s">
        <v>1153</v>
      </c>
      <c r="B188" t="s">
        <v>0</v>
      </c>
      <c r="C188">
        <v>38.39</v>
      </c>
      <c r="D188" t="s">
        <v>51</v>
      </c>
      <c r="E188" t="s">
        <v>35</v>
      </c>
      <c r="F188" t="s">
        <v>400</v>
      </c>
      <c r="G188" t="s">
        <v>116</v>
      </c>
      <c r="H188" t="str" cm="1">
        <f t="array" ref="H188:I188">_xlfn.TEXTSPLIT(SUBSTITUTE(D188,"樓",""),"/",,,0)</f>
        <v>13</v>
      </c>
      <c r="I188" t="str">
        <v>15</v>
      </c>
      <c r="J188" cm="1">
        <f t="array" ref="J188">GetNumByUnit(E188,"房")</f>
        <v>2</v>
      </c>
      <c r="K188" cm="1">
        <f t="array" ref="K188">GetNumByUnit(E188,"廳")</f>
        <v>2</v>
      </c>
      <c r="L188" cm="1">
        <f t="array" ref="L188">GetNumByUnit(E188,"衛")</f>
        <v>1</v>
      </c>
      <c r="M188" t="str">
        <f t="shared" si="8"/>
        <v xml:space="preserve">桃園市八德區中華路  </v>
      </c>
      <c r="N188" t="str">
        <f t="shared" si="9"/>
        <v>桃園市</v>
      </c>
      <c r="O188">
        <f t="shared" si="10"/>
        <v>23000</v>
      </c>
      <c r="P188" t="str">
        <f>_xlfn.XLOOKUP(N188,區隔!$B$3:$B$20,區隔!C$3:C$20,0)</f>
        <v>北部</v>
      </c>
      <c r="Q188" t="str">
        <f>LOOKUP(C188,區隔!$F$3:$F$5,區隔!$E$3:$E$5)</f>
        <v>大坪數</v>
      </c>
      <c r="R188">
        <f t="shared" si="11"/>
        <v>20</v>
      </c>
    </row>
    <row r="189" spans="1:18" x14ac:dyDescent="0.3">
      <c r="A189" s="7" t="s">
        <v>1154</v>
      </c>
      <c r="B189" t="s">
        <v>0</v>
      </c>
      <c r="C189">
        <v>13.32</v>
      </c>
      <c r="D189" t="s">
        <v>76</v>
      </c>
      <c r="E189" t="s">
        <v>30</v>
      </c>
      <c r="F189" t="s">
        <v>1155</v>
      </c>
      <c r="G189" t="s">
        <v>18</v>
      </c>
      <c r="H189" t="str" cm="1">
        <f t="array" ref="H189:I189">_xlfn.TEXTSPLIT(SUBSTITUTE(D189,"樓",""),"/",,,0)</f>
        <v>10</v>
      </c>
      <c r="I189" t="str">
        <v>15</v>
      </c>
      <c r="J189" cm="1">
        <f t="array" ref="J189">GetNumByUnit(E189,"房")</f>
        <v>1</v>
      </c>
      <c r="K189" cm="1">
        <f t="array" ref="K189">GetNumByUnit(E189,"廳")</f>
        <v>1</v>
      </c>
      <c r="L189" cm="1">
        <f t="array" ref="L189">GetNumByUnit(E189,"衛")</f>
        <v>1</v>
      </c>
      <c r="M189" t="str">
        <f t="shared" si="8"/>
        <v xml:space="preserve">台北市中正區羅斯福路二段  </v>
      </c>
      <c r="N189" t="str">
        <f t="shared" si="9"/>
        <v>台北市</v>
      </c>
      <c r="O189">
        <f t="shared" si="10"/>
        <v>25000</v>
      </c>
      <c r="P189" t="str">
        <f>_xlfn.XLOOKUP(N189,區隔!$B$3:$B$20,區隔!C$3:C$20,0)</f>
        <v>北部</v>
      </c>
      <c r="Q189" t="str">
        <f>LOOKUP(C189,區隔!$F$3:$F$5,區隔!$E$3:$E$5)</f>
        <v>小坪數</v>
      </c>
      <c r="R189">
        <f t="shared" si="11"/>
        <v>20</v>
      </c>
    </row>
    <row r="190" spans="1:18" x14ac:dyDescent="0.3">
      <c r="A190" s="7" t="s">
        <v>1156</v>
      </c>
      <c r="B190" t="s">
        <v>0</v>
      </c>
      <c r="C190">
        <v>10</v>
      </c>
      <c r="D190" t="s">
        <v>233</v>
      </c>
      <c r="E190" t="s">
        <v>30</v>
      </c>
      <c r="F190" t="s">
        <v>500</v>
      </c>
      <c r="G190" t="s">
        <v>191</v>
      </c>
      <c r="H190" t="str" cm="1">
        <f t="array" ref="H190:I190">_xlfn.TEXTSPLIT(SUBSTITUTE(D190,"樓",""),"/",,,0)</f>
        <v>6</v>
      </c>
      <c r="I190" t="str">
        <v>15</v>
      </c>
      <c r="J190" cm="1">
        <f t="array" ref="J190">GetNumByUnit(E190,"房")</f>
        <v>1</v>
      </c>
      <c r="K190" cm="1">
        <f t="array" ref="K190">GetNumByUnit(E190,"廳")</f>
        <v>1</v>
      </c>
      <c r="L190" cm="1">
        <f t="array" ref="L190">GetNumByUnit(E190,"衛")</f>
        <v>1</v>
      </c>
      <c r="M190" t="str">
        <f t="shared" si="8"/>
        <v xml:space="preserve">新北市土城區中央路四段  </v>
      </c>
      <c r="N190" t="str">
        <f t="shared" si="9"/>
        <v>新北市</v>
      </c>
      <c r="O190">
        <f t="shared" si="10"/>
        <v>13000</v>
      </c>
      <c r="P190" t="str">
        <f>_xlfn.XLOOKUP(N190,區隔!$B$3:$B$20,區隔!C$3:C$20,0)</f>
        <v>北部</v>
      </c>
      <c r="Q190" t="str">
        <f>LOOKUP(C190,區隔!$F$3:$F$5,區隔!$E$3:$E$5)</f>
        <v>小坪數</v>
      </c>
      <c r="R190">
        <f t="shared" si="11"/>
        <v>20</v>
      </c>
    </row>
    <row r="191" spans="1:18" x14ac:dyDescent="0.3">
      <c r="A191" s="7" t="s">
        <v>1157</v>
      </c>
      <c r="B191" t="s">
        <v>0</v>
      </c>
      <c r="C191">
        <v>23.18</v>
      </c>
      <c r="D191" t="s">
        <v>34</v>
      </c>
      <c r="E191" t="s">
        <v>35</v>
      </c>
      <c r="F191" t="s">
        <v>588</v>
      </c>
      <c r="G191" t="s">
        <v>136</v>
      </c>
      <c r="H191" t="str" cm="1">
        <f t="array" ref="H191:I191">_xlfn.TEXTSPLIT(SUBSTITUTE(D191,"樓",""),"/",,,0)</f>
        <v>4</v>
      </c>
      <c r="I191" t="str">
        <v>5</v>
      </c>
      <c r="J191" cm="1">
        <f t="array" ref="J191">GetNumByUnit(E191,"房")</f>
        <v>2</v>
      </c>
      <c r="K191" cm="1">
        <f t="array" ref="K191">GetNumByUnit(E191,"廳")</f>
        <v>2</v>
      </c>
      <c r="L191" cm="1">
        <f t="array" ref="L191">GetNumByUnit(E191,"衛")</f>
        <v>1</v>
      </c>
      <c r="M191" t="str">
        <f t="shared" si="8"/>
        <v xml:space="preserve">新北市汐止區民族五街  </v>
      </c>
      <c r="N191" t="str">
        <f t="shared" si="9"/>
        <v>新北市</v>
      </c>
      <c r="O191">
        <f t="shared" si="10"/>
        <v>19000</v>
      </c>
      <c r="P191" t="str">
        <f>_xlfn.XLOOKUP(N191,區隔!$B$3:$B$20,區隔!C$3:C$20,0)</f>
        <v>北部</v>
      </c>
      <c r="Q191" t="str">
        <f>LOOKUP(C191,區隔!$F$3:$F$5,區隔!$E$3:$E$5)</f>
        <v>中坪數</v>
      </c>
      <c r="R191">
        <f t="shared" si="11"/>
        <v>10</v>
      </c>
    </row>
    <row r="192" spans="1:18" x14ac:dyDescent="0.3">
      <c r="A192" s="7" t="s">
        <v>1158</v>
      </c>
      <c r="B192" t="s">
        <v>0</v>
      </c>
      <c r="C192">
        <v>26.44</v>
      </c>
      <c r="D192" t="s">
        <v>199</v>
      </c>
      <c r="E192" t="s">
        <v>47</v>
      </c>
      <c r="F192" t="s">
        <v>352</v>
      </c>
      <c r="G192" t="s">
        <v>104</v>
      </c>
      <c r="H192" t="str" cm="1">
        <f t="array" ref="H192:I192">_xlfn.TEXTSPLIT(SUBSTITUTE(D192,"樓",""),"/",,,0)</f>
        <v>7</v>
      </c>
      <c r="I192" t="str">
        <v>15</v>
      </c>
      <c r="J192" cm="1">
        <f t="array" ref="J192">GetNumByUnit(E192,"房")</f>
        <v>1</v>
      </c>
      <c r="K192" cm="1">
        <f t="array" ref="K192">GetNumByUnit(E192,"廳")</f>
        <v>2</v>
      </c>
      <c r="L192" cm="1">
        <f t="array" ref="L192">GetNumByUnit(E192,"衛")</f>
        <v>1</v>
      </c>
      <c r="M192" t="str">
        <f t="shared" si="8"/>
        <v xml:space="preserve">高雄市楠梓區後昌路  </v>
      </c>
      <c r="N192" t="str">
        <f t="shared" si="9"/>
        <v>高雄市</v>
      </c>
      <c r="O192">
        <f t="shared" si="10"/>
        <v>18000</v>
      </c>
      <c r="P192" t="str">
        <f>_xlfn.XLOOKUP(N192,區隔!$B$3:$B$20,區隔!C$3:C$20,0)</f>
        <v>南部</v>
      </c>
      <c r="Q192" t="str">
        <f>LOOKUP(C192,區隔!$F$3:$F$5,區隔!$E$3:$E$5)</f>
        <v>中坪數</v>
      </c>
      <c r="R192">
        <f t="shared" si="11"/>
        <v>20</v>
      </c>
    </row>
    <row r="193" spans="1:18" x14ac:dyDescent="0.3">
      <c r="A193" s="7" t="s">
        <v>1159</v>
      </c>
      <c r="B193" t="s">
        <v>0</v>
      </c>
      <c r="C193">
        <v>25.67</v>
      </c>
      <c r="D193" t="s">
        <v>49</v>
      </c>
      <c r="E193" t="s">
        <v>35</v>
      </c>
      <c r="F193" t="s">
        <v>451</v>
      </c>
      <c r="G193" t="s">
        <v>18</v>
      </c>
      <c r="H193" t="str" cm="1">
        <f t="array" ref="H193:I193">_xlfn.TEXTSPLIT(SUBSTITUTE(D193,"樓",""),"/",,,0)</f>
        <v>4</v>
      </c>
      <c r="I193" t="str">
        <v>12</v>
      </c>
      <c r="J193" cm="1">
        <f t="array" ref="J193">GetNumByUnit(E193,"房")</f>
        <v>2</v>
      </c>
      <c r="K193" cm="1">
        <f t="array" ref="K193">GetNumByUnit(E193,"廳")</f>
        <v>2</v>
      </c>
      <c r="L193" cm="1">
        <f t="array" ref="L193">GetNumByUnit(E193,"衛")</f>
        <v>1</v>
      </c>
      <c r="M193" t="str">
        <f t="shared" si="8"/>
        <v xml:space="preserve">新竹市新竹市光復路一段  </v>
      </c>
      <c r="N193" t="str">
        <f t="shared" si="9"/>
        <v>新竹市</v>
      </c>
      <c r="O193">
        <f t="shared" si="10"/>
        <v>25000</v>
      </c>
      <c r="P193" t="str">
        <f>_xlfn.XLOOKUP(N193,區隔!$B$3:$B$20,區隔!C$3:C$20,0)</f>
        <v>北部</v>
      </c>
      <c r="Q193" t="str">
        <f>LOOKUP(C193,區隔!$F$3:$F$5,區隔!$E$3:$E$5)</f>
        <v>中坪數</v>
      </c>
      <c r="R193">
        <f t="shared" si="11"/>
        <v>20</v>
      </c>
    </row>
    <row r="194" spans="1:18" x14ac:dyDescent="0.3">
      <c r="A194" s="7" t="s">
        <v>1160</v>
      </c>
      <c r="B194" t="s">
        <v>0</v>
      </c>
      <c r="C194">
        <v>37.6</v>
      </c>
      <c r="D194" t="s">
        <v>224</v>
      </c>
      <c r="E194" t="s">
        <v>44</v>
      </c>
      <c r="F194" t="s">
        <v>1161</v>
      </c>
      <c r="G194" t="s">
        <v>89</v>
      </c>
      <c r="H194" t="str" cm="1">
        <f t="array" ref="H194:I194">_xlfn.TEXTSPLIT(SUBSTITUTE(D194,"樓",""),"/",,,0)</f>
        <v>19</v>
      </c>
      <c r="I194" t="str">
        <v>21</v>
      </c>
      <c r="J194" cm="1">
        <f t="array" ref="J194">GetNumByUnit(E194,"房")</f>
        <v>2</v>
      </c>
      <c r="K194" cm="1">
        <f t="array" ref="K194">GetNumByUnit(E194,"廳")</f>
        <v>2</v>
      </c>
      <c r="L194" cm="1">
        <f t="array" ref="L194">GetNumByUnit(E194,"衛")</f>
        <v>2</v>
      </c>
      <c r="M194" t="str">
        <f t="shared" si="8"/>
        <v xml:space="preserve">新竹市新竹市慈濟路  </v>
      </c>
      <c r="N194" t="str">
        <f t="shared" si="9"/>
        <v>新竹市</v>
      </c>
      <c r="O194">
        <f t="shared" si="10"/>
        <v>38000</v>
      </c>
      <c r="P194" t="str">
        <f>_xlfn.XLOOKUP(N194,區隔!$B$3:$B$20,區隔!C$3:C$20,0)</f>
        <v>北部</v>
      </c>
      <c r="Q194" t="str">
        <f>LOOKUP(C194,區隔!$F$3:$F$5,區隔!$E$3:$E$5)</f>
        <v>大坪數</v>
      </c>
      <c r="R194">
        <f t="shared" si="11"/>
        <v>30</v>
      </c>
    </row>
    <row r="195" spans="1:18" x14ac:dyDescent="0.3">
      <c r="A195" s="7" t="s">
        <v>1162</v>
      </c>
      <c r="B195" t="s">
        <v>0</v>
      </c>
      <c r="C195">
        <v>20.170000000000002</v>
      </c>
      <c r="D195" t="s">
        <v>26</v>
      </c>
      <c r="E195" t="s">
        <v>35</v>
      </c>
      <c r="F195" t="s">
        <v>11</v>
      </c>
      <c r="G195" t="s">
        <v>198</v>
      </c>
      <c r="H195" t="str" cm="1">
        <f t="array" ref="H195:I195">_xlfn.TEXTSPLIT(SUBSTITUTE(D195,"樓",""),"/",,,0)</f>
        <v>2</v>
      </c>
      <c r="I195" t="str">
        <v>7</v>
      </c>
      <c r="J195" cm="1">
        <f t="array" ref="J195">GetNumByUnit(E195,"房")</f>
        <v>2</v>
      </c>
      <c r="K195" cm="1">
        <f t="array" ref="K195">GetNumByUnit(E195,"廳")</f>
        <v>2</v>
      </c>
      <c r="L195" cm="1">
        <f t="array" ref="L195">GetNumByUnit(E195,"衛")</f>
        <v>1</v>
      </c>
      <c r="M195" t="str">
        <f t="shared" ref="M195:M201" si="12">IFERROR(_xlfn.TEXTAFTER(F195,"/",LEN(F195)-LEN(SUBSTITUTE(F195,"/",""))),F195)</f>
        <v xml:space="preserve">台北市北投區泉源路  </v>
      </c>
      <c r="N195" t="str">
        <f t="shared" ref="N195:N201" si="13">TRIM(LEFT(M195,MIN(IFERROR(SEARCH("縣",M195),999),IFERROR(SEARCH("市",M195),999))))</f>
        <v>台北市</v>
      </c>
      <c r="O195">
        <f t="shared" ref="O195:O201" si="14">VALUE(SUBSTITUTE(SUBSTITUTE(G195,",", ""),"元/月",""))</f>
        <v>21000</v>
      </c>
      <c r="P195" t="str">
        <f>_xlfn.XLOOKUP(N195,區隔!$B$3:$B$20,區隔!C$3:C$20,0)</f>
        <v>北部</v>
      </c>
      <c r="Q195" t="str">
        <f>LOOKUP(C195,區隔!$F$3:$F$5,區隔!$E$3:$E$5)</f>
        <v>中坪數</v>
      </c>
      <c r="R195">
        <f t="shared" ref="R195:R201" si="15">_xlfn.XLOOKUP(CEILING(I195,10),_xlfn.SEQUENCE(100,,10,10),_xlfn.SEQUENCE(100,,10,10))</f>
        <v>10</v>
      </c>
    </row>
    <row r="196" spans="1:18" x14ac:dyDescent="0.3">
      <c r="A196" s="7" t="s">
        <v>1163</v>
      </c>
      <c r="B196" t="s">
        <v>0</v>
      </c>
      <c r="C196">
        <v>73.36</v>
      </c>
      <c r="D196" t="s">
        <v>1164</v>
      </c>
      <c r="E196" t="s">
        <v>29</v>
      </c>
      <c r="F196" t="s">
        <v>1165</v>
      </c>
      <c r="G196" t="s">
        <v>92</v>
      </c>
      <c r="H196" t="str" cm="1">
        <f t="array" ref="H196:I196">_xlfn.TEXTSPLIT(SUBSTITUTE(D196,"樓",""),"/",,,0)</f>
        <v>3</v>
      </c>
      <c r="I196" t="str">
        <v>29</v>
      </c>
      <c r="J196" cm="1">
        <f t="array" ref="J196">GetNumByUnit(E196,"房")</f>
        <v>3</v>
      </c>
      <c r="K196" cm="1">
        <f t="array" ref="K196">GetNumByUnit(E196,"廳")</f>
        <v>2</v>
      </c>
      <c r="L196" cm="1">
        <f t="array" ref="L196">GetNumByUnit(E196,"衛")</f>
        <v>2</v>
      </c>
      <c r="M196" t="str">
        <f t="shared" si="12"/>
        <v xml:space="preserve">高雄市前鎮區中山二路  </v>
      </c>
      <c r="N196" t="str">
        <f t="shared" si="13"/>
        <v>高雄市</v>
      </c>
      <c r="O196">
        <f t="shared" si="14"/>
        <v>58000</v>
      </c>
      <c r="P196" t="str">
        <f>_xlfn.XLOOKUP(N196,區隔!$B$3:$B$20,區隔!C$3:C$20,0)</f>
        <v>南部</v>
      </c>
      <c r="Q196" t="str">
        <f>LOOKUP(C196,區隔!$F$3:$F$5,區隔!$E$3:$E$5)</f>
        <v>大坪數</v>
      </c>
      <c r="R196">
        <f t="shared" si="15"/>
        <v>30</v>
      </c>
    </row>
    <row r="197" spans="1:18" x14ac:dyDescent="0.3">
      <c r="A197" s="7" t="s">
        <v>595</v>
      </c>
      <c r="B197" t="s">
        <v>0</v>
      </c>
      <c r="C197">
        <v>9.4700000000000006</v>
      </c>
      <c r="D197" t="s">
        <v>170</v>
      </c>
      <c r="E197" t="s">
        <v>171</v>
      </c>
      <c r="F197" t="s">
        <v>596</v>
      </c>
      <c r="G197" t="s">
        <v>145</v>
      </c>
      <c r="H197" t="str" cm="1">
        <f t="array" ref="H197:I197">_xlfn.TEXTSPLIT(SUBSTITUTE(D197,"樓",""),"/",,,0)</f>
        <v>5</v>
      </c>
      <c r="I197" t="str">
        <v>7</v>
      </c>
      <c r="J197" cm="1">
        <f t="array" ref="J197">GetNumByUnit(E197,"房")</f>
        <v>1</v>
      </c>
      <c r="K197" cm="1">
        <f t="array" ref="K197">GetNumByUnit(E197,"廳")</f>
        <v>1</v>
      </c>
      <c r="L197" cm="1">
        <f t="array" ref="L197">GetNumByUnit(E197,"衛")</f>
        <v>1</v>
      </c>
      <c r="M197" t="str">
        <f t="shared" si="12"/>
        <v xml:space="preserve">新竹縣竹北市縣政七街  </v>
      </c>
      <c r="N197" t="str">
        <f t="shared" si="13"/>
        <v>新竹縣</v>
      </c>
      <c r="O197">
        <f t="shared" si="14"/>
        <v>15000</v>
      </c>
      <c r="P197" t="str">
        <f>_xlfn.XLOOKUP(N197,區隔!$B$3:$B$20,區隔!C$3:C$20,0)</f>
        <v>北部</v>
      </c>
      <c r="Q197" t="str">
        <f>LOOKUP(C197,區隔!$F$3:$F$5,區隔!$E$3:$E$5)</f>
        <v>小坪數</v>
      </c>
      <c r="R197">
        <f t="shared" si="15"/>
        <v>10</v>
      </c>
    </row>
    <row r="198" spans="1:18" x14ac:dyDescent="0.3">
      <c r="A198" s="7" t="s">
        <v>1166</v>
      </c>
      <c r="B198" t="s">
        <v>0</v>
      </c>
      <c r="C198">
        <v>54.62</v>
      </c>
      <c r="D198" t="s">
        <v>79</v>
      </c>
      <c r="E198" t="s">
        <v>40</v>
      </c>
      <c r="F198" t="s">
        <v>1167</v>
      </c>
      <c r="G198" t="s">
        <v>74</v>
      </c>
      <c r="H198" t="str" cm="1">
        <f t="array" ref="H198:I198">_xlfn.TEXTSPLIT(SUBSTITUTE(D198,"樓",""),"/",,,0)</f>
        <v>6</v>
      </c>
      <c r="I198" t="str">
        <v>14</v>
      </c>
      <c r="J198" cm="1">
        <f t="array" ref="J198">GetNumByUnit(E198,"房")</f>
        <v>4</v>
      </c>
      <c r="K198" cm="1">
        <f t="array" ref="K198">GetNumByUnit(E198,"廳")</f>
        <v>2</v>
      </c>
      <c r="L198" cm="1">
        <f t="array" ref="L198">GetNumByUnit(E198,"衛")</f>
        <v>2</v>
      </c>
      <c r="M198" t="str">
        <f t="shared" si="12"/>
        <v xml:space="preserve">新竹縣竹北市復興七路  </v>
      </c>
      <c r="N198" t="str">
        <f t="shared" si="13"/>
        <v>新竹縣</v>
      </c>
      <c r="O198">
        <f t="shared" si="14"/>
        <v>36000</v>
      </c>
      <c r="P198" t="str">
        <f>_xlfn.XLOOKUP(N198,區隔!$B$3:$B$20,區隔!C$3:C$20,0)</f>
        <v>北部</v>
      </c>
      <c r="Q198" t="str">
        <f>LOOKUP(C198,區隔!$F$3:$F$5,區隔!$E$3:$E$5)</f>
        <v>大坪數</v>
      </c>
      <c r="R198">
        <f t="shared" si="15"/>
        <v>20</v>
      </c>
    </row>
    <row r="199" spans="1:18" x14ac:dyDescent="0.3">
      <c r="A199" s="7" t="s">
        <v>1168</v>
      </c>
      <c r="B199" t="s">
        <v>0</v>
      </c>
      <c r="C199">
        <v>27.32</v>
      </c>
      <c r="D199" t="s">
        <v>223</v>
      </c>
      <c r="E199" t="s">
        <v>47</v>
      </c>
      <c r="F199" t="s">
        <v>396</v>
      </c>
      <c r="G199" t="s">
        <v>242</v>
      </c>
      <c r="H199" t="str" cm="1">
        <f t="array" ref="H199:I199">_xlfn.TEXTSPLIT(SUBSTITUTE(D199,"樓",""),"/",,,0)</f>
        <v>9</v>
      </c>
      <c r="I199" t="str">
        <v>15</v>
      </c>
      <c r="J199" cm="1">
        <f t="array" ref="J199">GetNumByUnit(E199,"房")</f>
        <v>1</v>
      </c>
      <c r="K199" cm="1">
        <f t="array" ref="K199">GetNumByUnit(E199,"廳")</f>
        <v>2</v>
      </c>
      <c r="L199" cm="1">
        <f t="array" ref="L199">GetNumByUnit(E199,"衛")</f>
        <v>1</v>
      </c>
      <c r="M199" t="str">
        <f t="shared" si="12"/>
        <v xml:space="preserve">新北市淡水區新市一路三段  </v>
      </c>
      <c r="N199" t="str">
        <f t="shared" si="13"/>
        <v>新北市</v>
      </c>
      <c r="O199">
        <f t="shared" si="14"/>
        <v>19500</v>
      </c>
      <c r="P199" t="str">
        <f>_xlfn.XLOOKUP(N199,區隔!$B$3:$B$20,區隔!C$3:C$20,0)</f>
        <v>北部</v>
      </c>
      <c r="Q199" t="str">
        <f>LOOKUP(C199,區隔!$F$3:$F$5,區隔!$E$3:$E$5)</f>
        <v>中坪數</v>
      </c>
      <c r="R199">
        <f t="shared" si="15"/>
        <v>20</v>
      </c>
    </row>
    <row r="200" spans="1:18" x14ac:dyDescent="0.3">
      <c r="A200" s="7" t="s">
        <v>448</v>
      </c>
      <c r="B200" t="s">
        <v>0</v>
      </c>
      <c r="C200">
        <v>27.28</v>
      </c>
      <c r="D200" t="s">
        <v>34</v>
      </c>
      <c r="E200" t="s">
        <v>95</v>
      </c>
      <c r="F200" t="s">
        <v>449</v>
      </c>
      <c r="G200" t="s">
        <v>104</v>
      </c>
      <c r="H200" t="str" cm="1">
        <f t="array" ref="H200:I200">_xlfn.TEXTSPLIT(SUBSTITUTE(D200,"樓",""),"/",,,0)</f>
        <v>4</v>
      </c>
      <c r="I200" t="str">
        <v>5</v>
      </c>
      <c r="J200" cm="1">
        <f t="array" ref="J200">GetNumByUnit(E200,"房")</f>
        <v>3</v>
      </c>
      <c r="K200" cm="1">
        <f t="array" ref="K200">GetNumByUnit(E200,"廳")</f>
        <v>2</v>
      </c>
      <c r="L200" cm="1">
        <f t="array" ref="L200">GetNumByUnit(E200,"衛")</f>
        <v>1</v>
      </c>
      <c r="M200" t="str">
        <f t="shared" si="12"/>
        <v xml:space="preserve">新北市淡水區平遠街  </v>
      </c>
      <c r="N200" t="str">
        <f t="shared" si="13"/>
        <v>新北市</v>
      </c>
      <c r="O200">
        <f t="shared" si="14"/>
        <v>18000</v>
      </c>
      <c r="P200" t="str">
        <f>_xlfn.XLOOKUP(N200,區隔!$B$3:$B$20,區隔!C$3:C$20,0)</f>
        <v>北部</v>
      </c>
      <c r="Q200" t="str">
        <f>LOOKUP(C200,區隔!$F$3:$F$5,區隔!$E$3:$E$5)</f>
        <v>中坪數</v>
      </c>
      <c r="R200">
        <f t="shared" si="15"/>
        <v>10</v>
      </c>
    </row>
    <row r="201" spans="1:18" x14ac:dyDescent="0.3">
      <c r="A201" s="7" t="s">
        <v>1169</v>
      </c>
      <c r="B201" t="s">
        <v>0</v>
      </c>
      <c r="C201">
        <v>40.04</v>
      </c>
      <c r="D201" t="s">
        <v>211</v>
      </c>
      <c r="E201" t="s">
        <v>35</v>
      </c>
      <c r="F201" t="s">
        <v>1170</v>
      </c>
      <c r="G201" t="s">
        <v>112</v>
      </c>
      <c r="H201" t="str" cm="1">
        <f t="array" ref="H201:I201">_xlfn.TEXTSPLIT(SUBSTITUTE(D201,"樓",""),"/",,,0)</f>
        <v>1</v>
      </c>
      <c r="I201" t="str">
        <v>16</v>
      </c>
      <c r="J201" cm="1">
        <f t="array" ref="J201">GetNumByUnit(E201,"房")</f>
        <v>2</v>
      </c>
      <c r="K201" cm="1">
        <f t="array" ref="K201">GetNumByUnit(E201,"廳")</f>
        <v>2</v>
      </c>
      <c r="L201" cm="1">
        <f t="array" ref="L201">GetNumByUnit(E201,"衛")</f>
        <v>1</v>
      </c>
      <c r="M201" t="str">
        <f t="shared" si="12"/>
        <v xml:space="preserve">台中市南屯區東興路二段  </v>
      </c>
      <c r="N201" t="str">
        <f t="shared" si="13"/>
        <v>台中市</v>
      </c>
      <c r="O201">
        <f t="shared" si="14"/>
        <v>35000</v>
      </c>
      <c r="P201" t="str">
        <f>_xlfn.XLOOKUP(N201,區隔!$B$3:$B$20,區隔!C$3:C$20,0)</f>
        <v>中部</v>
      </c>
      <c r="Q201" t="str">
        <f>LOOKUP(C201,區隔!$F$3:$F$5,區隔!$E$3:$E$5)</f>
        <v>大坪數</v>
      </c>
      <c r="R201">
        <f t="shared" si="15"/>
        <v>20</v>
      </c>
    </row>
  </sheetData>
  <phoneticPr fontId="1" type="noConversion"/>
  <hyperlinks>
    <hyperlink ref="A2" r:id="rId1" xr:uid="{D0AFD480-6979-4F7B-8E39-E87F1B5F8AB5}"/>
    <hyperlink ref="A3" r:id="rId2" xr:uid="{FA185F16-C565-44A2-948C-46D05839CBF1}"/>
    <hyperlink ref="A4" r:id="rId3" xr:uid="{CF3318B2-4AE3-447E-B322-87FA06C62090}"/>
    <hyperlink ref="A5" r:id="rId4" xr:uid="{B3D98321-E10C-466B-8188-4B6B6B3CF7F0}"/>
    <hyperlink ref="A6" r:id="rId5" xr:uid="{9C3EDDA9-638F-42F8-844D-29EDE4A74356}"/>
    <hyperlink ref="A7" r:id="rId6" xr:uid="{1FA779FF-DA50-44CE-99F4-21672B110280}"/>
    <hyperlink ref="A8" r:id="rId7" xr:uid="{83FB7084-0A9D-4DE4-B5C3-1830255095DB}"/>
    <hyperlink ref="A9" r:id="rId8" xr:uid="{47DB6DBC-77D1-4629-BD90-C8AA404AEFD1}"/>
    <hyperlink ref="A10" r:id="rId9" xr:uid="{96244711-6876-4FE3-90DC-B21A7B6C65E1}"/>
    <hyperlink ref="A11" r:id="rId10" xr:uid="{5D1A6024-21DA-45D2-B53D-F2B9393289D7}"/>
    <hyperlink ref="A12" r:id="rId11" xr:uid="{E731E14C-C198-4363-801E-261F7477ED7C}"/>
    <hyperlink ref="A13" r:id="rId12" xr:uid="{AF2845B7-D526-4C22-9BE9-558869386F0C}"/>
    <hyperlink ref="A14" r:id="rId13" xr:uid="{9FB29B61-EEF8-4107-B624-D4A4437A3649}"/>
    <hyperlink ref="A15" r:id="rId14" xr:uid="{0226514A-F1C7-466D-9DA0-83882570083E}"/>
    <hyperlink ref="A16" r:id="rId15" xr:uid="{7DC7A1FC-C232-4598-8FAE-99A3ACCF6C88}"/>
    <hyperlink ref="A17" r:id="rId16" xr:uid="{71BAA14F-9FD3-42B3-8165-B6426057B1AE}"/>
    <hyperlink ref="A18" r:id="rId17" xr:uid="{A8859050-5636-4DD2-BBB3-32236C1A9CC5}"/>
    <hyperlink ref="A19" r:id="rId18" xr:uid="{BEDF862D-C917-43BD-B71C-A4A8A4A4E1B5}"/>
    <hyperlink ref="A20" r:id="rId19" xr:uid="{3192F404-3BD3-47E4-A8EC-78F89B8BB14A}"/>
    <hyperlink ref="A21" r:id="rId20" xr:uid="{984B8C7C-5A2D-49D7-967B-F45D2224225A}"/>
    <hyperlink ref="A22" r:id="rId21" xr:uid="{797A290F-5EB5-4533-8879-E565A968A20C}"/>
    <hyperlink ref="A23" r:id="rId22" xr:uid="{D2BBC1A4-BE66-4257-B52D-82C4422D2749}"/>
    <hyperlink ref="A24" r:id="rId23" xr:uid="{51F08F5D-9F7E-437A-B42E-90F093D51D5B}"/>
    <hyperlink ref="A25" r:id="rId24" xr:uid="{013FFD8A-6FE4-42EB-B47A-A565DA354F6A}"/>
    <hyperlink ref="A26" r:id="rId25" xr:uid="{ED6BE38C-A957-49CD-A34A-E786E0E1F71F}"/>
    <hyperlink ref="A27" r:id="rId26" xr:uid="{BFCF708C-B65D-4769-8438-B63D20FAD1D8}"/>
    <hyperlink ref="A28" r:id="rId27" xr:uid="{016C320F-C95E-44D4-BBAD-E3B7C4251D1F}"/>
    <hyperlink ref="A29" r:id="rId28" xr:uid="{BF3C7AE5-DDE0-4C91-A7AD-CA5306A5F2CC}"/>
    <hyperlink ref="A30" r:id="rId29" xr:uid="{408DF05E-21F2-4428-9866-1A49B7BA0B83}"/>
    <hyperlink ref="A31" r:id="rId30" xr:uid="{01516686-CE20-4CD4-BD3C-EAD045E80DA3}"/>
    <hyperlink ref="A32" r:id="rId31" xr:uid="{5C98BA3E-76F1-4222-BF69-650281E019B8}"/>
    <hyperlink ref="A33" r:id="rId32" xr:uid="{AD252068-100F-4ED8-9D46-1F8F2093AC30}"/>
    <hyperlink ref="A34" r:id="rId33" xr:uid="{C510E8E9-4F41-4A33-9EFC-F76394D47061}"/>
    <hyperlink ref="A35" r:id="rId34" xr:uid="{729F0F45-691E-412E-854D-CAC839D642F4}"/>
    <hyperlink ref="A36" r:id="rId35" xr:uid="{83D02B8B-3634-48E1-8161-85E82FAE781B}"/>
    <hyperlink ref="A37" r:id="rId36" xr:uid="{8F471871-DE55-4CBD-9932-77FB2F87E69A}"/>
    <hyperlink ref="A38" r:id="rId37" xr:uid="{278A42C5-4160-402C-9BE6-DCE2DCE18896}"/>
    <hyperlink ref="A39" r:id="rId38" xr:uid="{BF7D7B33-4898-49F8-BF4B-1E436B7B1F9F}"/>
    <hyperlink ref="A40" r:id="rId39" xr:uid="{935B7D76-7063-4F87-8B3D-B11904ED72A5}"/>
    <hyperlink ref="A41" r:id="rId40" xr:uid="{1E32331A-0412-4B47-BE18-28A8CE41D563}"/>
    <hyperlink ref="A42" r:id="rId41" xr:uid="{0EFCBF1D-4FC3-44C4-893E-0E01BD965F0A}"/>
    <hyperlink ref="A43" r:id="rId42" xr:uid="{47B659C3-8CAC-4C96-9303-E12D088264CF}"/>
    <hyperlink ref="A44" r:id="rId43" xr:uid="{7088ED84-C63D-4255-86A6-837F0357C6DA}"/>
    <hyperlink ref="A45" r:id="rId44" xr:uid="{64C7D5C1-0FBE-45BD-A044-B6D65151B281}"/>
    <hyperlink ref="A46" r:id="rId45" xr:uid="{F7EEB0FE-5274-4E8E-AC7C-0AF6A45F3E3A}"/>
    <hyperlink ref="A47" r:id="rId46" xr:uid="{5D554059-0A85-48C9-8220-5721060758CA}"/>
    <hyperlink ref="A48" r:id="rId47" xr:uid="{41594F62-487A-48AB-950A-B485EF88007E}"/>
    <hyperlink ref="A49" r:id="rId48" xr:uid="{79C30483-CCA2-4DC8-AEA3-26C417B3B58F}"/>
    <hyperlink ref="A50" r:id="rId49" xr:uid="{16D82C19-9F5B-46D2-B716-913401A95435}"/>
    <hyperlink ref="A51" r:id="rId50" xr:uid="{344B91A5-4B3D-4859-83F3-861A817A84F4}"/>
    <hyperlink ref="A52" r:id="rId51" xr:uid="{1CF87AD2-A252-4DCA-8931-F4CCBACFD8F5}"/>
    <hyperlink ref="A53" r:id="rId52" xr:uid="{C65AD130-D818-4C68-BA04-58A1ECFA8E8C}"/>
    <hyperlink ref="A54" r:id="rId53" xr:uid="{8EB3C63F-493A-4DA7-9CD3-8398BA751F23}"/>
    <hyperlink ref="A55" r:id="rId54" xr:uid="{B228FFAD-C89A-45A1-915F-596C89944079}"/>
    <hyperlink ref="A56" r:id="rId55" xr:uid="{6297B817-0843-43F2-8748-FB3BE14CD228}"/>
    <hyperlink ref="A57" r:id="rId56" xr:uid="{B0B2EDAA-F6C1-4D25-9F8D-71437DD83FEF}"/>
    <hyperlink ref="A58" r:id="rId57" xr:uid="{71FD453B-B076-47A1-B28F-2C8136E34CB1}"/>
    <hyperlink ref="A59" r:id="rId58" xr:uid="{40C97987-2362-42E8-8CE8-01964589318C}"/>
    <hyperlink ref="A60" r:id="rId59" xr:uid="{609D2AF6-3296-4F8E-9821-1618B82D8360}"/>
    <hyperlink ref="A61" r:id="rId60" xr:uid="{49D30D0F-1E70-49F6-81C0-E6BF156B346A}"/>
    <hyperlink ref="A62" r:id="rId61" xr:uid="{347F8BB0-920C-490C-AD70-9683A4144433}"/>
    <hyperlink ref="A63" r:id="rId62" xr:uid="{E015E581-45C3-4F09-9F55-FD44A6E2F4E5}"/>
    <hyperlink ref="A64" r:id="rId63" xr:uid="{6A1A501C-6588-4E04-9D5F-01D33EBCFEB4}"/>
    <hyperlink ref="A65" r:id="rId64" xr:uid="{C2CCF137-50A8-448E-84E0-2B78D208C43C}"/>
    <hyperlink ref="A66" r:id="rId65" xr:uid="{E4714F32-F163-414D-BC52-B8807CD3119A}"/>
    <hyperlink ref="A67" r:id="rId66" xr:uid="{0DBCC20C-5E31-4F2B-A2DD-5853C3F46A9F}"/>
    <hyperlink ref="A68" r:id="rId67" xr:uid="{7AEC71B4-F932-446D-B639-97A44D1FAA14}"/>
    <hyperlink ref="A69" r:id="rId68" xr:uid="{FE505BCF-C115-46D4-B755-CE9578DFB70F}"/>
    <hyperlink ref="A70" r:id="rId69" xr:uid="{E1C91FD6-5F89-45DA-A0F5-792ADE687616}"/>
    <hyperlink ref="A71" r:id="rId70" xr:uid="{AFCC79DA-67C9-43A2-A013-9A73D01E3ABD}"/>
    <hyperlink ref="A72" r:id="rId71" xr:uid="{8A380A93-F792-4915-A65F-1E30B7D09F43}"/>
    <hyperlink ref="A73" r:id="rId72" xr:uid="{32471AAE-2031-4DDB-9249-4C11E439881A}"/>
    <hyperlink ref="A74" r:id="rId73" xr:uid="{506C4008-B281-4854-9D87-45D39C255FBC}"/>
    <hyperlink ref="A75" r:id="rId74" xr:uid="{BE968772-8090-4492-96E6-BCEA7D175305}"/>
    <hyperlink ref="A76" r:id="rId75" xr:uid="{2F8627A3-8BC2-4451-A62E-0CE27EE630EE}"/>
    <hyperlink ref="A77" r:id="rId76" xr:uid="{7721B40D-A170-4302-9DFB-333D321E2160}"/>
    <hyperlink ref="A78" r:id="rId77" xr:uid="{3A0FBE5C-18A4-43A3-A8F3-88FCB4299F7D}"/>
    <hyperlink ref="A79" r:id="rId78" xr:uid="{56D76BDB-BF99-4F2B-951A-09DAA1621D9D}"/>
    <hyperlink ref="A80" r:id="rId79" xr:uid="{94487ABB-29C0-4AD9-A50F-8EE2E4400C93}"/>
    <hyperlink ref="A81" r:id="rId80" xr:uid="{0B066035-18D9-4600-8C01-2DD16898CF93}"/>
    <hyperlink ref="A82" r:id="rId81" xr:uid="{10FCEC3E-342E-4E35-9E78-D24D687103C3}"/>
    <hyperlink ref="A83" r:id="rId82" xr:uid="{3FB15EC2-555B-4A09-9A51-411C476F0956}"/>
    <hyperlink ref="A84" r:id="rId83" xr:uid="{8AD47AEB-509B-409C-9ADD-94A022D5518F}"/>
    <hyperlink ref="A85" r:id="rId84" xr:uid="{C3847EEA-A673-46B6-AA0B-8A820A9B5F3C}"/>
    <hyperlink ref="A86" r:id="rId85" xr:uid="{AB2BE8A9-931E-4EF3-9C93-FC77DB003792}"/>
    <hyperlink ref="A87" r:id="rId86" xr:uid="{D44FA10D-1B81-4564-9B00-7C6026A7C525}"/>
    <hyperlink ref="A88" r:id="rId87" xr:uid="{77F535DE-5EB9-42E2-822E-AC0F1B63A040}"/>
    <hyperlink ref="A89" r:id="rId88" xr:uid="{D46645AB-3CEA-42CD-A094-4C1BA19E38BA}"/>
    <hyperlink ref="A90" r:id="rId89" xr:uid="{080AF8B3-BBF4-47BE-8D91-3F3F77D53543}"/>
    <hyperlink ref="A91" r:id="rId90" xr:uid="{9FCFF1F5-2780-4839-AC87-FEA6735CAED5}"/>
    <hyperlink ref="A92" r:id="rId91" xr:uid="{55BCB93A-71B3-4A6D-AD0E-5CFE0BFAC47D}"/>
    <hyperlink ref="A93" r:id="rId92" xr:uid="{AEC77F2C-40AA-45E0-A852-78E8CA163094}"/>
    <hyperlink ref="A94" r:id="rId93" xr:uid="{AA6C281C-11A1-44FF-ACF2-80A84FD56EF4}"/>
    <hyperlink ref="A95" r:id="rId94" xr:uid="{BD146434-C9A2-4B90-B6C7-69DFA88B1B9D}"/>
    <hyperlink ref="A96" r:id="rId95" xr:uid="{13F1A4D7-D2B4-4DC1-BF6E-A37A6DA924C9}"/>
    <hyperlink ref="A97" r:id="rId96" xr:uid="{46A1DB8E-26F5-4186-BFBD-C312775CF3A9}"/>
    <hyperlink ref="A98" r:id="rId97" xr:uid="{B65145C0-9240-423E-BEE8-5C3248CA8A28}"/>
    <hyperlink ref="A99" r:id="rId98" xr:uid="{BDCD1A95-1FBF-4EB6-92BA-9086675B31EF}"/>
    <hyperlink ref="A100" r:id="rId99" xr:uid="{B661F03B-3CD5-4F3E-8A5D-4FF16D9702B4}"/>
    <hyperlink ref="A101" r:id="rId100" xr:uid="{67FA690E-C2CB-4CA2-9E9C-C5D01D819D30}"/>
    <hyperlink ref="A102" r:id="rId101" xr:uid="{5E195898-CDC8-4B20-B00E-0A88F8B79BEB}"/>
    <hyperlink ref="A103" r:id="rId102" xr:uid="{C59C2E6D-B6A6-4E3A-BBD8-106FFD75C3D4}"/>
    <hyperlink ref="A104" r:id="rId103" xr:uid="{EE27062E-5C78-4115-BA0D-D74E6097552A}"/>
    <hyperlink ref="A105" r:id="rId104" xr:uid="{5E0EAA62-3747-4454-8742-25E60B44F650}"/>
    <hyperlink ref="A106" r:id="rId105" xr:uid="{034FB71E-53A2-43E9-8F1E-5ADEEE129478}"/>
    <hyperlink ref="A107" r:id="rId106" xr:uid="{AA2F6639-3D20-4923-A585-067E959B90DC}"/>
    <hyperlink ref="A108" r:id="rId107" xr:uid="{8B4069B0-24FA-4A3D-ADB7-FC2BC65272E7}"/>
    <hyperlink ref="A109" r:id="rId108" xr:uid="{1B17EC9B-E8D1-42E4-A5B8-D87DDDE1949D}"/>
    <hyperlink ref="A110" r:id="rId109" xr:uid="{D60134C6-A19A-4DCA-AE0C-7D26A8AA0AFC}"/>
    <hyperlink ref="A111" r:id="rId110" xr:uid="{AFBE7527-9A41-4F41-8438-B9B7A24E72C8}"/>
    <hyperlink ref="A112" r:id="rId111" xr:uid="{742C6C57-6BAA-4950-9268-385FEB5C0175}"/>
    <hyperlink ref="A113" r:id="rId112" xr:uid="{067A3644-9EAC-46AA-93DC-CFFD356F5B95}"/>
    <hyperlink ref="A114" r:id="rId113" xr:uid="{CD1C34E3-F669-4044-8A01-5DB0D8BAB1BD}"/>
    <hyperlink ref="A115" r:id="rId114" xr:uid="{7A4132AD-8C04-4312-B7E2-A62F53D10E4A}"/>
    <hyperlink ref="A116" r:id="rId115" xr:uid="{DE303BB5-B21A-4000-86E7-EB6E2AB0EA73}"/>
    <hyperlink ref="A117" r:id="rId116" xr:uid="{8A27679C-9A6C-4557-B810-221900684AB1}"/>
    <hyperlink ref="A118" r:id="rId117" xr:uid="{EC89DBE9-2C1C-46CE-863C-B4EA6F5BC6A2}"/>
    <hyperlink ref="A119" r:id="rId118" xr:uid="{3A4B522F-A7D2-4EB2-8AE3-C66DD149E9B6}"/>
    <hyperlink ref="A120" r:id="rId119" xr:uid="{5048DE43-4377-40EF-8A9F-22983B06F055}"/>
    <hyperlink ref="A121" r:id="rId120" xr:uid="{1C2CC903-F2D6-4451-AC52-7A6F7A981EF8}"/>
    <hyperlink ref="A122" r:id="rId121" xr:uid="{15440547-3D9D-4AAF-9540-C321CD63CC5E}"/>
    <hyperlink ref="A123" r:id="rId122" xr:uid="{9C3AB1AE-5DE0-439B-BD78-468BF0616111}"/>
    <hyperlink ref="A124" r:id="rId123" xr:uid="{C01747FE-3780-4060-BFDE-CCDB0587410C}"/>
    <hyperlink ref="A125" r:id="rId124" xr:uid="{5BB9EC28-E919-49FE-A240-BA8EE7A241A7}"/>
    <hyperlink ref="A126" r:id="rId125" xr:uid="{787F5462-CE49-4792-A098-62B9CC584EA6}"/>
    <hyperlink ref="A127" r:id="rId126" xr:uid="{8FC0AF41-73D5-43DC-94CE-D095568793EB}"/>
    <hyperlink ref="A128" r:id="rId127" xr:uid="{90AB77C5-C2B6-48B8-B877-A3A7F79BE5EE}"/>
    <hyperlink ref="A129" r:id="rId128" xr:uid="{8C6C9CB0-7C30-47C2-8353-BC7A0BB342CA}"/>
    <hyperlink ref="A130" r:id="rId129" xr:uid="{CEE7787B-46DA-4D36-BD2C-32F2F45DAD4B}"/>
    <hyperlink ref="A131" r:id="rId130" xr:uid="{ED653074-C305-4BA7-9B69-069D15B55045}"/>
    <hyperlink ref="A132" r:id="rId131" xr:uid="{CA2C2592-46DD-4960-9DC1-F868B4290827}"/>
    <hyperlink ref="A133" r:id="rId132" xr:uid="{A820D27D-FEEA-483D-8BA6-2BCBFBA9EB76}"/>
    <hyperlink ref="A134" r:id="rId133" xr:uid="{C6BB077B-D704-4C80-8348-81714F20F001}"/>
    <hyperlink ref="A135" r:id="rId134" xr:uid="{B673188C-989B-4ECD-980D-3ED993F01346}"/>
    <hyperlink ref="A136" r:id="rId135" xr:uid="{94103FBF-7053-4988-A981-3CAD142B5A4A}"/>
    <hyperlink ref="A137" r:id="rId136" xr:uid="{231DB0C3-22F8-4539-9AC8-44877F9AB743}"/>
    <hyperlink ref="A138" r:id="rId137" xr:uid="{2E4A9E3A-F9A4-40F7-8874-C0C3D3516CA5}"/>
    <hyperlink ref="A139" r:id="rId138" xr:uid="{B72C90FC-A468-45B4-B231-E35180891296}"/>
    <hyperlink ref="A140" r:id="rId139" xr:uid="{4A4A49D1-A92D-46AF-BDCD-36A4570DDF1B}"/>
    <hyperlink ref="A141" r:id="rId140" xr:uid="{79B30EE5-E05C-492E-A0B1-3B18FE0CECAD}"/>
    <hyperlink ref="A142" r:id="rId141" xr:uid="{12717875-9851-4BB6-8622-063DE4034911}"/>
    <hyperlink ref="A143" r:id="rId142" xr:uid="{F50BFC1C-7A1E-4F9D-BB6F-9BB20ED3395B}"/>
    <hyperlink ref="A144" r:id="rId143" xr:uid="{B83ED88F-514D-482B-876A-4CCB6F4B9545}"/>
    <hyperlink ref="A145" r:id="rId144" xr:uid="{53C51A65-CA33-4A8F-9613-ABB756939DF9}"/>
    <hyperlink ref="A146" r:id="rId145" xr:uid="{04AF4A2B-AC20-4557-9FD2-43BAAABEC596}"/>
    <hyperlink ref="A147" r:id="rId146" xr:uid="{83D401E6-09EC-4CA3-8732-EE65798EDD59}"/>
    <hyperlink ref="A148" r:id="rId147" xr:uid="{5FD200C6-09A4-4B61-8489-9A99310431BC}"/>
    <hyperlink ref="A149" r:id="rId148" xr:uid="{228F9FD3-517F-4C29-96C0-18773B42616B}"/>
    <hyperlink ref="A150" r:id="rId149" xr:uid="{8B516B1A-1868-4174-B2C2-94B5430BCA31}"/>
    <hyperlink ref="A151" r:id="rId150" xr:uid="{FB3F7E12-E92A-4042-81CE-A62893DF1C86}"/>
    <hyperlink ref="A152" r:id="rId151" xr:uid="{ABB98F35-D7B3-4952-BC36-AA3536474EF2}"/>
    <hyperlink ref="A153" r:id="rId152" xr:uid="{A6387CD5-0725-4D10-AC9A-D9F983372056}"/>
    <hyperlink ref="A154" r:id="rId153" xr:uid="{E8226D17-65A3-435B-9289-7E79D26EE398}"/>
    <hyperlink ref="A155" r:id="rId154" xr:uid="{04F5E83D-221F-492E-A829-C7E30280AAC5}"/>
    <hyperlink ref="A156" r:id="rId155" xr:uid="{4221CD59-9392-4D1A-8873-F7A1A0CFC525}"/>
    <hyperlink ref="A157" r:id="rId156" xr:uid="{3ACB1BCB-27B4-4571-BA9A-44D03E5953F4}"/>
    <hyperlink ref="A158" r:id="rId157" xr:uid="{A47C353E-9CAA-46C8-B4AC-7578F6396448}"/>
    <hyperlink ref="A159" r:id="rId158" xr:uid="{72139C16-1EF7-4157-A3D4-FDAE3D692F12}"/>
    <hyperlink ref="A160" r:id="rId159" xr:uid="{E8910CD4-C4E8-4971-8205-E4C5D04CA9D6}"/>
    <hyperlink ref="A161" r:id="rId160" xr:uid="{C4354C25-4A2B-47D4-A444-939E8EF173D0}"/>
    <hyperlink ref="A162" r:id="rId161" xr:uid="{1834D820-B87C-4914-A825-387623A153BE}"/>
    <hyperlink ref="A163" r:id="rId162" xr:uid="{0999126B-292D-49BF-85A5-A5181FAE5AED}"/>
    <hyperlink ref="A164" r:id="rId163" xr:uid="{1CBA2BDE-405A-417C-AD43-E37B9CA63FF6}"/>
    <hyperlink ref="A165" r:id="rId164" xr:uid="{A32F0F99-BCDE-47FF-9EB1-8040B58E5DC2}"/>
    <hyperlink ref="A166" r:id="rId165" xr:uid="{FAEF964A-CD84-41E3-95F0-01592F86544C}"/>
    <hyperlink ref="A167" r:id="rId166" xr:uid="{6CDED062-DF4B-478C-9006-0834F0B0DB73}"/>
    <hyperlink ref="A168" r:id="rId167" xr:uid="{539A27AE-45E1-41EC-B483-75E16DF49363}"/>
    <hyperlink ref="A169" r:id="rId168" xr:uid="{F750DF6D-0BE0-4ACA-9C00-41D6B38F358A}"/>
    <hyperlink ref="A170" r:id="rId169" xr:uid="{DB00D088-C96C-4AB6-A71F-29476F894C81}"/>
    <hyperlink ref="A171" r:id="rId170" xr:uid="{A6D4FF8B-2A0D-4112-AA98-414842DE7428}"/>
    <hyperlink ref="A172" r:id="rId171" xr:uid="{348D4554-1A5C-4743-8733-555B1E756227}"/>
    <hyperlink ref="A173" r:id="rId172" xr:uid="{66AD4DC9-2806-41CC-B96E-461DD981760C}"/>
    <hyperlink ref="A174" r:id="rId173" xr:uid="{F22F9052-8C0A-40FC-B8D7-3E7471E43965}"/>
    <hyperlink ref="A175" r:id="rId174" xr:uid="{B1B44CED-4B54-4DA6-8E7C-38C06BF38521}"/>
    <hyperlink ref="A176" r:id="rId175" xr:uid="{2A44C31C-28CF-48A2-9BC3-F91CC46B6838}"/>
    <hyperlink ref="A177" r:id="rId176" xr:uid="{87F51EBA-6862-4A7A-9110-FD0EE3BD8E5F}"/>
    <hyperlink ref="A178" r:id="rId177" xr:uid="{9B84233A-0309-439F-BCDF-325C3029A41F}"/>
    <hyperlink ref="A179" r:id="rId178" xr:uid="{C883F555-E4FB-46B6-9B5B-54387A74C481}"/>
    <hyperlink ref="A180" r:id="rId179" xr:uid="{8D4D23BE-257F-402D-ACDC-050B9916C8B9}"/>
    <hyperlink ref="A181" r:id="rId180" xr:uid="{EC269E2D-2FF3-4054-95A5-18C4B865A2E8}"/>
    <hyperlink ref="A182" r:id="rId181" xr:uid="{0E854D10-F870-4E8B-8D1D-DF0F35008E72}"/>
    <hyperlink ref="A183" r:id="rId182" xr:uid="{B8CA4FA4-0B7B-42A3-9DDC-3FFD13F9E12B}"/>
    <hyperlink ref="A184" r:id="rId183" xr:uid="{F8D753BC-8EE6-4C00-954A-6F2D75728FD4}"/>
    <hyperlink ref="A185" r:id="rId184" xr:uid="{4EBE1C9E-CED2-4ECD-919E-0F5032E2C4D1}"/>
    <hyperlink ref="A186" r:id="rId185" xr:uid="{6820ADAE-EC3C-4973-9569-5CCE95CD05C1}"/>
    <hyperlink ref="A187" r:id="rId186" xr:uid="{CD6D58BA-2D3D-4CF8-82F5-D15C6E2A99A7}"/>
    <hyperlink ref="A188" r:id="rId187" xr:uid="{B8A012E5-3485-415C-9604-9B72E3131A19}"/>
    <hyperlink ref="A189" r:id="rId188" xr:uid="{3B9C0EF3-4910-4C3F-BFCC-6612B9D216C7}"/>
    <hyperlink ref="A190" r:id="rId189" xr:uid="{362FF5ED-B6F0-40D4-9D20-49317417BB5E}"/>
    <hyperlink ref="A191" r:id="rId190" xr:uid="{37B1D49E-9FCE-4950-B433-FB14ADA8CC13}"/>
    <hyperlink ref="A192" r:id="rId191" xr:uid="{7B951D12-7BD0-4E19-90E7-097249B97F1F}"/>
    <hyperlink ref="A193" r:id="rId192" xr:uid="{A4C2601A-5E89-4BB3-8457-18A857E1CEB0}"/>
    <hyperlink ref="A194" r:id="rId193" xr:uid="{66F9DC4D-6201-471F-A589-00297CEF3C71}"/>
    <hyperlink ref="A195" r:id="rId194" xr:uid="{D746CA39-DA17-4520-AE41-D9792948C94B}"/>
    <hyperlink ref="A196" r:id="rId195" xr:uid="{AA43C478-84F7-47CD-8B34-E65487B3A5E2}"/>
    <hyperlink ref="A197" r:id="rId196" xr:uid="{07F36762-CBB7-4F21-A486-4F3E52DB178F}"/>
    <hyperlink ref="A198" r:id="rId197" xr:uid="{7002998E-E03A-4FAE-A2B9-E2C498A7813A}"/>
    <hyperlink ref="A199" r:id="rId198" xr:uid="{5799DE71-6266-4A9F-9072-782F5FEDCF0F}"/>
    <hyperlink ref="A200" r:id="rId199" xr:uid="{47241097-979E-406D-B9E7-D098E15B54F2}"/>
    <hyperlink ref="A201" r:id="rId200" xr:uid="{E73201EE-7299-4F95-8301-6FE7151225C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221D9-D058-446B-AD32-42316A4347AA}">
  <sheetPr codeName="工作表2"/>
  <dimension ref="B2:F20"/>
  <sheetViews>
    <sheetView workbookViewId="0">
      <selection activeCell="Z53" sqref="Z53"/>
    </sheetView>
  </sheetViews>
  <sheetFormatPr defaultRowHeight="15" x14ac:dyDescent="0.3"/>
  <sheetData>
    <row r="2" spans="2:6" x14ac:dyDescent="0.3">
      <c r="B2" t="s">
        <v>912</v>
      </c>
    </row>
    <row r="3" spans="2:6" x14ac:dyDescent="0.3">
      <c r="B3" t="s">
        <v>657</v>
      </c>
      <c r="C3" t="s">
        <v>654</v>
      </c>
      <c r="E3" t="s">
        <v>660</v>
      </c>
      <c r="F3">
        <v>0</v>
      </c>
    </row>
    <row r="4" spans="2:6" x14ac:dyDescent="0.3">
      <c r="B4" t="s">
        <v>642</v>
      </c>
      <c r="C4" t="s">
        <v>654</v>
      </c>
      <c r="E4" s="3" t="s">
        <v>661</v>
      </c>
      <c r="F4">
        <v>15</v>
      </c>
    </row>
    <row r="5" spans="2:6" x14ac:dyDescent="0.3">
      <c r="B5" t="s">
        <v>641</v>
      </c>
      <c r="C5" t="s">
        <v>654</v>
      </c>
      <c r="E5" s="3" t="s">
        <v>662</v>
      </c>
      <c r="F5">
        <v>30</v>
      </c>
    </row>
    <row r="6" spans="2:6" x14ac:dyDescent="0.3">
      <c r="B6" t="s">
        <v>639</v>
      </c>
      <c r="C6" t="s">
        <v>654</v>
      </c>
    </row>
    <row r="7" spans="2:6" x14ac:dyDescent="0.3">
      <c r="B7" t="s">
        <v>643</v>
      </c>
      <c r="C7" t="s">
        <v>654</v>
      </c>
    </row>
    <row r="8" spans="2:6" x14ac:dyDescent="0.3">
      <c r="B8" t="s">
        <v>644</v>
      </c>
      <c r="C8" t="s">
        <v>654</v>
      </c>
    </row>
    <row r="9" spans="2:6" x14ac:dyDescent="0.3">
      <c r="B9" t="s">
        <v>637</v>
      </c>
      <c r="C9" t="s">
        <v>654</v>
      </c>
    </row>
    <row r="10" spans="2:6" x14ac:dyDescent="0.3">
      <c r="B10" t="s">
        <v>658</v>
      </c>
      <c r="C10" t="s">
        <v>655</v>
      </c>
    </row>
    <row r="11" spans="2:6" x14ac:dyDescent="0.3">
      <c r="B11" t="s">
        <v>638</v>
      </c>
      <c r="C11" t="s">
        <v>655</v>
      </c>
    </row>
    <row r="12" spans="2:6" x14ac:dyDescent="0.3">
      <c r="B12" t="s">
        <v>645</v>
      </c>
      <c r="C12" t="s">
        <v>655</v>
      </c>
    </row>
    <row r="13" spans="2:6" x14ac:dyDescent="0.3">
      <c r="B13" t="s">
        <v>648</v>
      </c>
      <c r="C13" t="s">
        <v>655</v>
      </c>
    </row>
    <row r="14" spans="2:6" x14ac:dyDescent="0.3">
      <c r="B14" t="s">
        <v>649</v>
      </c>
      <c r="C14" t="s">
        <v>655</v>
      </c>
    </row>
    <row r="15" spans="2:6" x14ac:dyDescent="0.3">
      <c r="B15" t="s">
        <v>640</v>
      </c>
      <c r="C15" t="s">
        <v>656</v>
      </c>
    </row>
    <row r="16" spans="2:6" x14ac:dyDescent="0.3">
      <c r="B16" t="s">
        <v>659</v>
      </c>
      <c r="C16" t="s">
        <v>656</v>
      </c>
    </row>
    <row r="17" spans="2:3" x14ac:dyDescent="0.3">
      <c r="B17" t="s">
        <v>650</v>
      </c>
      <c r="C17" t="s">
        <v>656</v>
      </c>
    </row>
    <row r="18" spans="2:3" x14ac:dyDescent="0.3">
      <c r="B18" t="s">
        <v>651</v>
      </c>
      <c r="C18" t="s">
        <v>656</v>
      </c>
    </row>
    <row r="19" spans="2:3" x14ac:dyDescent="0.3">
      <c r="B19" t="s">
        <v>652</v>
      </c>
      <c r="C19" t="s">
        <v>656</v>
      </c>
    </row>
    <row r="20" spans="2:3" x14ac:dyDescent="0.3">
      <c r="B20" t="s">
        <v>653</v>
      </c>
      <c r="C20" t="s">
        <v>656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09F2-81D6-4487-81F4-9FF22226AE4D}">
  <sheetPr codeName="工作表4"/>
  <dimension ref="A1:R201"/>
  <sheetViews>
    <sheetView tabSelected="1" workbookViewId="0">
      <selection activeCell="B2" sqref="A2:B2"/>
    </sheetView>
  </sheetViews>
  <sheetFormatPr defaultRowHeight="15" x14ac:dyDescent="0.3"/>
  <cols>
    <col min="1" max="2" width="12.75" customWidth="1"/>
    <col min="3" max="3" width="12.25" customWidth="1"/>
    <col min="5" max="5" width="12.25" customWidth="1"/>
    <col min="6" max="6" width="12.75" customWidth="1"/>
    <col min="7" max="7" width="12.25" customWidth="1"/>
    <col min="8" max="8" width="13.375" customWidth="1"/>
    <col min="9" max="9" width="12.75" customWidth="1"/>
    <col min="10" max="10" width="12.25" customWidth="1"/>
    <col min="13" max="13" width="12.75" customWidth="1"/>
    <col min="14" max="14" width="12.25" customWidth="1"/>
    <col min="17" max="18" width="12.75" customWidth="1"/>
    <col min="19" max="19" width="12.25" customWidth="1"/>
  </cols>
  <sheetData>
    <row r="1" spans="1:18" x14ac:dyDescent="0.3">
      <c r="A1" t="s">
        <v>634</v>
      </c>
      <c r="B1" t="s">
        <v>635</v>
      </c>
      <c r="C1" t="s">
        <v>315</v>
      </c>
      <c r="D1" t="s">
        <v>316</v>
      </c>
      <c r="E1" t="s">
        <v>317</v>
      </c>
      <c r="F1" t="s">
        <v>636</v>
      </c>
      <c r="G1" t="s">
        <v>647</v>
      </c>
      <c r="H1" t="s">
        <v>760</v>
      </c>
      <c r="I1" t="s">
        <v>761</v>
      </c>
      <c r="J1" t="s">
        <v>762</v>
      </c>
      <c r="K1" t="s">
        <v>763</v>
      </c>
      <c r="L1" t="s">
        <v>764</v>
      </c>
      <c r="M1" t="s">
        <v>765</v>
      </c>
      <c r="N1" t="s">
        <v>766</v>
      </c>
      <c r="O1" t="s">
        <v>767</v>
      </c>
      <c r="P1" t="s">
        <v>768</v>
      </c>
      <c r="Q1" t="s">
        <v>769</v>
      </c>
      <c r="R1" t="s">
        <v>770</v>
      </c>
    </row>
    <row r="2" spans="1:18" x14ac:dyDescent="0.3">
      <c r="A2" t="s">
        <v>2</v>
      </c>
      <c r="B2" t="s">
        <v>0</v>
      </c>
      <c r="C2">
        <v>51.93</v>
      </c>
      <c r="D2" t="s">
        <v>28</v>
      </c>
      <c r="E2" t="s">
        <v>29</v>
      </c>
      <c r="F2" t="s">
        <v>3</v>
      </c>
      <c r="G2" t="s">
        <v>4</v>
      </c>
      <c r="H2" t="s">
        <v>1178</v>
      </c>
      <c r="I2" t="s">
        <v>1179</v>
      </c>
      <c r="J2">
        <v>3</v>
      </c>
      <c r="K2">
        <v>2</v>
      </c>
      <c r="L2">
        <v>2</v>
      </c>
      <c r="M2" t="s">
        <v>3</v>
      </c>
      <c r="N2" t="s">
        <v>753</v>
      </c>
      <c r="O2">
        <v>68000</v>
      </c>
      <c r="P2" t="s">
        <v>752</v>
      </c>
      <c r="Q2" t="s">
        <v>749</v>
      </c>
      <c r="R2">
        <v>20</v>
      </c>
    </row>
    <row r="3" spans="1:18" x14ac:dyDescent="0.3">
      <c r="A3" t="s">
        <v>318</v>
      </c>
      <c r="B3" t="s">
        <v>0</v>
      </c>
      <c r="C3">
        <v>107</v>
      </c>
      <c r="D3" t="s">
        <v>312</v>
      </c>
      <c r="E3" t="s">
        <v>319</v>
      </c>
      <c r="F3" t="s">
        <v>320</v>
      </c>
      <c r="G3" t="s">
        <v>119</v>
      </c>
      <c r="H3" t="s">
        <v>1180</v>
      </c>
      <c r="I3" t="s">
        <v>1181</v>
      </c>
      <c r="J3">
        <v>8</v>
      </c>
      <c r="K3">
        <v>2</v>
      </c>
      <c r="L3">
        <v>9</v>
      </c>
      <c r="M3" t="s">
        <v>320</v>
      </c>
      <c r="N3" t="s">
        <v>1176</v>
      </c>
      <c r="O3">
        <v>75000</v>
      </c>
      <c r="P3" t="s">
        <v>1175</v>
      </c>
      <c r="Q3" t="s">
        <v>749</v>
      </c>
      <c r="R3">
        <v>10</v>
      </c>
    </row>
    <row r="4" spans="1:18" x14ac:dyDescent="0.3">
      <c r="A4" t="s">
        <v>914</v>
      </c>
      <c r="B4" t="s">
        <v>0</v>
      </c>
      <c r="C4">
        <v>42.8</v>
      </c>
      <c r="D4" t="s">
        <v>209</v>
      </c>
      <c r="E4" t="s">
        <v>40</v>
      </c>
      <c r="F4" t="s">
        <v>602</v>
      </c>
      <c r="G4" t="s">
        <v>273</v>
      </c>
      <c r="H4" t="s">
        <v>1182</v>
      </c>
      <c r="I4" t="s">
        <v>1183</v>
      </c>
      <c r="J4">
        <v>4</v>
      </c>
      <c r="K4">
        <v>2</v>
      </c>
      <c r="L4">
        <v>2</v>
      </c>
      <c r="M4" t="s">
        <v>602</v>
      </c>
      <c r="N4" t="s">
        <v>1173</v>
      </c>
      <c r="O4">
        <v>26000</v>
      </c>
      <c r="P4" t="s">
        <v>1172</v>
      </c>
      <c r="Q4" t="s">
        <v>749</v>
      </c>
      <c r="R4">
        <v>20</v>
      </c>
    </row>
    <row r="5" spans="1:18" x14ac:dyDescent="0.3">
      <c r="A5" t="s">
        <v>321</v>
      </c>
      <c r="B5" t="s">
        <v>0</v>
      </c>
      <c r="C5">
        <v>31.79</v>
      </c>
      <c r="D5" t="s">
        <v>322</v>
      </c>
      <c r="E5" t="s">
        <v>35</v>
      </c>
      <c r="F5" t="s">
        <v>323</v>
      </c>
      <c r="G5" t="s">
        <v>273</v>
      </c>
      <c r="H5" t="s">
        <v>1183</v>
      </c>
      <c r="I5" t="s">
        <v>1184</v>
      </c>
      <c r="J5">
        <v>2</v>
      </c>
      <c r="K5">
        <v>2</v>
      </c>
      <c r="L5">
        <v>1</v>
      </c>
      <c r="M5" t="s">
        <v>323</v>
      </c>
      <c r="N5" t="s">
        <v>639</v>
      </c>
      <c r="O5">
        <v>26000</v>
      </c>
      <c r="P5" t="s">
        <v>752</v>
      </c>
      <c r="Q5" t="s">
        <v>749</v>
      </c>
      <c r="R5">
        <v>30</v>
      </c>
    </row>
    <row r="6" spans="1:18" x14ac:dyDescent="0.3">
      <c r="A6" t="s">
        <v>915</v>
      </c>
      <c r="B6" t="s">
        <v>0</v>
      </c>
      <c r="C6">
        <v>25.65</v>
      </c>
      <c r="D6" t="s">
        <v>324</v>
      </c>
      <c r="E6" t="s">
        <v>286</v>
      </c>
      <c r="F6" t="s">
        <v>325</v>
      </c>
      <c r="G6" t="s">
        <v>52</v>
      </c>
      <c r="H6" t="s">
        <v>1185</v>
      </c>
      <c r="I6" t="s">
        <v>1186</v>
      </c>
      <c r="J6">
        <v>2</v>
      </c>
      <c r="K6">
        <v>1</v>
      </c>
      <c r="L6">
        <v>2</v>
      </c>
      <c r="M6" t="s">
        <v>325</v>
      </c>
      <c r="N6" t="s">
        <v>640</v>
      </c>
      <c r="O6">
        <v>24000</v>
      </c>
      <c r="P6" t="s">
        <v>1175</v>
      </c>
      <c r="Q6" t="s">
        <v>751</v>
      </c>
      <c r="R6">
        <v>30</v>
      </c>
    </row>
    <row r="7" spans="1:18" x14ac:dyDescent="0.3">
      <c r="A7" t="s">
        <v>327</v>
      </c>
      <c r="B7" t="s">
        <v>0</v>
      </c>
      <c r="C7">
        <v>35.72</v>
      </c>
      <c r="D7" t="s">
        <v>34</v>
      </c>
      <c r="E7" t="s">
        <v>29</v>
      </c>
      <c r="F7" t="s">
        <v>328</v>
      </c>
      <c r="G7" t="s">
        <v>116</v>
      </c>
      <c r="H7" t="s">
        <v>1187</v>
      </c>
      <c r="I7" t="s">
        <v>1181</v>
      </c>
      <c r="J7">
        <v>3</v>
      </c>
      <c r="K7">
        <v>2</v>
      </c>
      <c r="L7">
        <v>2</v>
      </c>
      <c r="M7" t="s">
        <v>328</v>
      </c>
      <c r="N7" t="s">
        <v>642</v>
      </c>
      <c r="O7">
        <v>23000</v>
      </c>
      <c r="P7" t="s">
        <v>752</v>
      </c>
      <c r="Q7" t="s">
        <v>749</v>
      </c>
      <c r="R7">
        <v>10</v>
      </c>
    </row>
    <row r="8" spans="1:18" x14ac:dyDescent="0.3">
      <c r="A8" t="s">
        <v>916</v>
      </c>
      <c r="B8" t="s">
        <v>0</v>
      </c>
      <c r="C8">
        <v>27.4</v>
      </c>
      <c r="D8" t="s">
        <v>108</v>
      </c>
      <c r="E8" t="s">
        <v>95</v>
      </c>
      <c r="F8" t="s">
        <v>267</v>
      </c>
      <c r="G8" t="s">
        <v>18</v>
      </c>
      <c r="H8" t="s">
        <v>1188</v>
      </c>
      <c r="I8" t="s">
        <v>1187</v>
      </c>
      <c r="J8">
        <v>3</v>
      </c>
      <c r="K8">
        <v>2</v>
      </c>
      <c r="L8">
        <v>1</v>
      </c>
      <c r="M8" t="s">
        <v>267</v>
      </c>
      <c r="N8" t="s">
        <v>753</v>
      </c>
      <c r="O8">
        <v>25000</v>
      </c>
      <c r="P8" t="s">
        <v>752</v>
      </c>
      <c r="Q8" t="s">
        <v>751</v>
      </c>
      <c r="R8">
        <v>10</v>
      </c>
    </row>
    <row r="9" spans="1:18" x14ac:dyDescent="0.3">
      <c r="A9" t="s">
        <v>917</v>
      </c>
      <c r="B9" t="s">
        <v>0</v>
      </c>
      <c r="C9">
        <v>51.04</v>
      </c>
      <c r="D9" t="s">
        <v>269</v>
      </c>
      <c r="E9" t="s">
        <v>29</v>
      </c>
      <c r="F9" t="s">
        <v>918</v>
      </c>
      <c r="G9" t="s">
        <v>115</v>
      </c>
      <c r="H9" t="s">
        <v>1189</v>
      </c>
      <c r="I9" t="s">
        <v>1190</v>
      </c>
      <c r="J9">
        <v>3</v>
      </c>
      <c r="K9">
        <v>2</v>
      </c>
      <c r="L9">
        <v>2</v>
      </c>
      <c r="M9" t="s">
        <v>1191</v>
      </c>
      <c r="N9" t="s">
        <v>642</v>
      </c>
      <c r="O9">
        <v>30000</v>
      </c>
      <c r="P9" t="s">
        <v>752</v>
      </c>
      <c r="Q9" t="s">
        <v>749</v>
      </c>
      <c r="R9">
        <v>20</v>
      </c>
    </row>
    <row r="10" spans="1:18" x14ac:dyDescent="0.3">
      <c r="A10" t="s">
        <v>919</v>
      </c>
      <c r="B10" t="s">
        <v>0</v>
      </c>
      <c r="C10">
        <v>59.96</v>
      </c>
      <c r="D10" t="s">
        <v>581</v>
      </c>
      <c r="E10" t="s">
        <v>188</v>
      </c>
      <c r="F10" t="s">
        <v>94</v>
      </c>
      <c r="G10" t="s">
        <v>22</v>
      </c>
      <c r="H10" t="s">
        <v>1192</v>
      </c>
      <c r="I10" t="s">
        <v>1181</v>
      </c>
      <c r="J10">
        <v>4</v>
      </c>
      <c r="K10">
        <v>2</v>
      </c>
      <c r="L10">
        <v>2</v>
      </c>
      <c r="M10" t="s">
        <v>94</v>
      </c>
      <c r="N10" t="s">
        <v>753</v>
      </c>
      <c r="O10">
        <v>45000</v>
      </c>
      <c r="P10" t="s">
        <v>752</v>
      </c>
      <c r="Q10" t="s">
        <v>749</v>
      </c>
      <c r="R10">
        <v>10</v>
      </c>
    </row>
    <row r="11" spans="1:18" x14ac:dyDescent="0.3">
      <c r="A11" t="s">
        <v>329</v>
      </c>
      <c r="B11" t="s">
        <v>0</v>
      </c>
      <c r="C11">
        <v>35.07</v>
      </c>
      <c r="D11" t="s">
        <v>248</v>
      </c>
      <c r="E11" t="s">
        <v>35</v>
      </c>
      <c r="F11" t="s">
        <v>330</v>
      </c>
      <c r="G11" t="s">
        <v>331</v>
      </c>
      <c r="H11" t="s">
        <v>1183</v>
      </c>
      <c r="I11" t="s">
        <v>1179</v>
      </c>
      <c r="J11">
        <v>2</v>
      </c>
      <c r="K11">
        <v>2</v>
      </c>
      <c r="L11">
        <v>1</v>
      </c>
      <c r="M11" t="s">
        <v>330</v>
      </c>
      <c r="N11" t="s">
        <v>1173</v>
      </c>
      <c r="O11">
        <v>28500</v>
      </c>
      <c r="P11" t="s">
        <v>1172</v>
      </c>
      <c r="Q11" t="s">
        <v>749</v>
      </c>
      <c r="R11">
        <v>20</v>
      </c>
    </row>
    <row r="12" spans="1:18" x14ac:dyDescent="0.3">
      <c r="A12" t="s">
        <v>920</v>
      </c>
      <c r="B12" t="s">
        <v>0</v>
      </c>
      <c r="C12">
        <v>21.07</v>
      </c>
      <c r="D12" t="s">
        <v>309</v>
      </c>
      <c r="E12" t="s">
        <v>921</v>
      </c>
      <c r="F12" t="s">
        <v>922</v>
      </c>
      <c r="G12" t="s">
        <v>431</v>
      </c>
      <c r="H12" t="s">
        <v>1193</v>
      </c>
      <c r="I12" t="s">
        <v>1194</v>
      </c>
      <c r="J12">
        <v>2</v>
      </c>
      <c r="K12">
        <v>2</v>
      </c>
      <c r="L12">
        <v>2</v>
      </c>
      <c r="M12" t="s">
        <v>922</v>
      </c>
      <c r="N12" t="s">
        <v>1173</v>
      </c>
      <c r="O12">
        <v>18800</v>
      </c>
      <c r="P12" t="s">
        <v>1172</v>
      </c>
      <c r="Q12" t="s">
        <v>751</v>
      </c>
      <c r="R12">
        <v>20</v>
      </c>
    </row>
    <row r="13" spans="1:18" x14ac:dyDescent="0.3">
      <c r="A13" t="s">
        <v>332</v>
      </c>
      <c r="B13" t="s">
        <v>0</v>
      </c>
      <c r="C13">
        <v>41.87</v>
      </c>
      <c r="D13" t="s">
        <v>333</v>
      </c>
      <c r="E13" t="s">
        <v>29</v>
      </c>
      <c r="F13" t="s">
        <v>334</v>
      </c>
      <c r="G13" t="s">
        <v>116</v>
      </c>
      <c r="H13" t="s">
        <v>1195</v>
      </c>
      <c r="I13" t="s">
        <v>1196</v>
      </c>
      <c r="J13">
        <v>3</v>
      </c>
      <c r="K13">
        <v>2</v>
      </c>
      <c r="L13">
        <v>2</v>
      </c>
      <c r="M13" t="s">
        <v>334</v>
      </c>
      <c r="N13" t="s">
        <v>640</v>
      </c>
      <c r="O13">
        <v>23000</v>
      </c>
      <c r="P13" t="s">
        <v>1175</v>
      </c>
      <c r="Q13" t="s">
        <v>749</v>
      </c>
      <c r="R13">
        <v>30</v>
      </c>
    </row>
    <row r="14" spans="1:18" x14ac:dyDescent="0.3">
      <c r="A14" t="s">
        <v>923</v>
      </c>
      <c r="B14" t="s">
        <v>0</v>
      </c>
      <c r="C14">
        <v>27.61</v>
      </c>
      <c r="D14" t="s">
        <v>170</v>
      </c>
      <c r="E14" t="s">
        <v>95</v>
      </c>
      <c r="F14" t="s">
        <v>572</v>
      </c>
      <c r="G14" t="s">
        <v>18</v>
      </c>
      <c r="H14" t="s">
        <v>1181</v>
      </c>
      <c r="I14" t="s">
        <v>1193</v>
      </c>
      <c r="J14">
        <v>3</v>
      </c>
      <c r="K14">
        <v>2</v>
      </c>
      <c r="L14">
        <v>1</v>
      </c>
      <c r="M14" t="s">
        <v>572</v>
      </c>
      <c r="N14" t="s">
        <v>642</v>
      </c>
      <c r="O14">
        <v>25000</v>
      </c>
      <c r="P14" t="s">
        <v>752</v>
      </c>
      <c r="Q14" t="s">
        <v>751</v>
      </c>
      <c r="R14">
        <v>10</v>
      </c>
    </row>
    <row r="15" spans="1:18" x14ac:dyDescent="0.3">
      <c r="A15" t="s">
        <v>924</v>
      </c>
      <c r="B15" t="s">
        <v>0</v>
      </c>
      <c r="C15">
        <v>20.32</v>
      </c>
      <c r="D15" t="s">
        <v>925</v>
      </c>
      <c r="E15" t="s">
        <v>454</v>
      </c>
      <c r="F15" t="s">
        <v>926</v>
      </c>
      <c r="G15" t="s">
        <v>64</v>
      </c>
      <c r="H15" t="s">
        <v>1180</v>
      </c>
      <c r="I15" t="s">
        <v>1197</v>
      </c>
      <c r="J15">
        <v>4</v>
      </c>
      <c r="K15">
        <v>2</v>
      </c>
      <c r="L15">
        <v>2</v>
      </c>
      <c r="M15" t="s">
        <v>926</v>
      </c>
      <c r="N15" t="s">
        <v>640</v>
      </c>
      <c r="O15">
        <v>16000</v>
      </c>
      <c r="P15" t="s">
        <v>1175</v>
      </c>
      <c r="Q15" t="s">
        <v>751</v>
      </c>
      <c r="R15">
        <v>10</v>
      </c>
    </row>
    <row r="16" spans="1:18" x14ac:dyDescent="0.3">
      <c r="A16" t="s">
        <v>927</v>
      </c>
      <c r="B16" t="s">
        <v>0</v>
      </c>
      <c r="C16">
        <v>14.26</v>
      </c>
      <c r="D16" t="s">
        <v>26</v>
      </c>
      <c r="E16" t="s">
        <v>310</v>
      </c>
      <c r="F16" t="s">
        <v>247</v>
      </c>
      <c r="G16" t="s">
        <v>112</v>
      </c>
      <c r="H16" t="s">
        <v>1188</v>
      </c>
      <c r="I16" t="s">
        <v>1193</v>
      </c>
      <c r="J16">
        <v>3</v>
      </c>
      <c r="K16">
        <v>1</v>
      </c>
      <c r="L16">
        <v>1</v>
      </c>
      <c r="M16" t="s">
        <v>247</v>
      </c>
      <c r="N16" t="s">
        <v>753</v>
      </c>
      <c r="O16">
        <v>35000</v>
      </c>
      <c r="P16" t="s">
        <v>752</v>
      </c>
      <c r="Q16" t="s">
        <v>750</v>
      </c>
      <c r="R16">
        <v>10</v>
      </c>
    </row>
    <row r="17" spans="1:18" x14ac:dyDescent="0.3">
      <c r="A17" t="s">
        <v>928</v>
      </c>
      <c r="B17" t="s">
        <v>0</v>
      </c>
      <c r="C17">
        <v>34.06</v>
      </c>
      <c r="D17" t="s">
        <v>571</v>
      </c>
      <c r="E17" t="s">
        <v>29</v>
      </c>
      <c r="F17" t="s">
        <v>929</v>
      </c>
      <c r="G17" t="s">
        <v>116</v>
      </c>
      <c r="H17" t="s">
        <v>1194</v>
      </c>
      <c r="I17" t="s">
        <v>1189</v>
      </c>
      <c r="J17">
        <v>3</v>
      </c>
      <c r="K17">
        <v>2</v>
      </c>
      <c r="L17">
        <v>2</v>
      </c>
      <c r="M17" t="s">
        <v>929</v>
      </c>
      <c r="N17" t="s">
        <v>1173</v>
      </c>
      <c r="O17">
        <v>23000</v>
      </c>
      <c r="P17" t="s">
        <v>1172</v>
      </c>
      <c r="Q17" t="s">
        <v>749</v>
      </c>
      <c r="R17">
        <v>20</v>
      </c>
    </row>
    <row r="18" spans="1:18" x14ac:dyDescent="0.3">
      <c r="A18" t="s">
        <v>930</v>
      </c>
      <c r="B18" t="s">
        <v>0</v>
      </c>
      <c r="C18">
        <v>31.43</v>
      </c>
      <c r="D18" t="s">
        <v>170</v>
      </c>
      <c r="E18" t="s">
        <v>29</v>
      </c>
      <c r="F18" t="s">
        <v>931</v>
      </c>
      <c r="G18" t="s">
        <v>136</v>
      </c>
      <c r="H18" t="s">
        <v>1181</v>
      </c>
      <c r="I18" t="s">
        <v>1193</v>
      </c>
      <c r="J18">
        <v>3</v>
      </c>
      <c r="K18">
        <v>2</v>
      </c>
      <c r="L18">
        <v>2</v>
      </c>
      <c r="M18" t="s">
        <v>931</v>
      </c>
      <c r="N18" t="s">
        <v>1173</v>
      </c>
      <c r="O18">
        <v>19000</v>
      </c>
      <c r="P18" t="s">
        <v>1172</v>
      </c>
      <c r="Q18" t="s">
        <v>749</v>
      </c>
      <c r="R18">
        <v>10</v>
      </c>
    </row>
    <row r="19" spans="1:18" x14ac:dyDescent="0.3">
      <c r="A19" t="s">
        <v>932</v>
      </c>
      <c r="B19" t="s">
        <v>0</v>
      </c>
      <c r="C19">
        <v>46.56</v>
      </c>
      <c r="D19" t="s">
        <v>322</v>
      </c>
      <c r="E19" t="s">
        <v>29</v>
      </c>
      <c r="F19" t="s">
        <v>416</v>
      </c>
      <c r="G19" t="s">
        <v>54</v>
      </c>
      <c r="H19" t="s">
        <v>1183</v>
      </c>
      <c r="I19" t="s">
        <v>1184</v>
      </c>
      <c r="J19">
        <v>3</v>
      </c>
      <c r="K19">
        <v>2</v>
      </c>
      <c r="L19">
        <v>2</v>
      </c>
      <c r="M19" t="s">
        <v>416</v>
      </c>
      <c r="N19" t="s">
        <v>1173</v>
      </c>
      <c r="O19">
        <v>28000</v>
      </c>
      <c r="P19" t="s">
        <v>1172</v>
      </c>
      <c r="Q19" t="s">
        <v>749</v>
      </c>
      <c r="R19">
        <v>30</v>
      </c>
    </row>
    <row r="20" spans="1:18" x14ac:dyDescent="0.3">
      <c r="A20" t="s">
        <v>933</v>
      </c>
      <c r="B20" t="s">
        <v>0</v>
      </c>
      <c r="C20">
        <v>46.34</v>
      </c>
      <c r="D20" t="s">
        <v>240</v>
      </c>
      <c r="E20" t="s">
        <v>29</v>
      </c>
      <c r="F20" t="s">
        <v>419</v>
      </c>
      <c r="G20" t="s">
        <v>8</v>
      </c>
      <c r="H20" t="s">
        <v>1198</v>
      </c>
      <c r="I20" t="s">
        <v>1179</v>
      </c>
      <c r="J20">
        <v>3</v>
      </c>
      <c r="K20">
        <v>2</v>
      </c>
      <c r="L20">
        <v>2</v>
      </c>
      <c r="M20" t="s">
        <v>419</v>
      </c>
      <c r="N20" t="s">
        <v>1173</v>
      </c>
      <c r="O20">
        <v>31000</v>
      </c>
      <c r="P20" t="s">
        <v>1172</v>
      </c>
      <c r="Q20" t="s">
        <v>749</v>
      </c>
      <c r="R20">
        <v>20</v>
      </c>
    </row>
    <row r="21" spans="1:18" x14ac:dyDescent="0.3">
      <c r="A21" t="s">
        <v>934</v>
      </c>
      <c r="B21" t="s">
        <v>0</v>
      </c>
      <c r="C21">
        <v>45.67</v>
      </c>
      <c r="D21" t="s">
        <v>70</v>
      </c>
      <c r="E21" t="s">
        <v>27</v>
      </c>
      <c r="F21" t="s">
        <v>419</v>
      </c>
      <c r="G21" t="s">
        <v>18</v>
      </c>
      <c r="H21" t="s">
        <v>1178</v>
      </c>
      <c r="I21" t="s">
        <v>1183</v>
      </c>
      <c r="J21">
        <v>2</v>
      </c>
      <c r="K21">
        <v>2</v>
      </c>
      <c r="L21">
        <v>2</v>
      </c>
      <c r="M21" t="s">
        <v>419</v>
      </c>
      <c r="N21" t="s">
        <v>1173</v>
      </c>
      <c r="O21">
        <v>25000</v>
      </c>
      <c r="P21" t="s">
        <v>1172</v>
      </c>
      <c r="Q21" t="s">
        <v>749</v>
      </c>
      <c r="R21">
        <v>20</v>
      </c>
    </row>
    <row r="22" spans="1:18" x14ac:dyDescent="0.3">
      <c r="A22" t="s">
        <v>6</v>
      </c>
      <c r="B22" t="s">
        <v>0</v>
      </c>
      <c r="C22">
        <v>9</v>
      </c>
      <c r="D22" t="s">
        <v>26</v>
      </c>
      <c r="E22" t="s">
        <v>30</v>
      </c>
      <c r="F22" t="s">
        <v>7</v>
      </c>
      <c r="G22" t="s">
        <v>115</v>
      </c>
      <c r="H22" t="s">
        <v>1188</v>
      </c>
      <c r="I22" t="s">
        <v>1193</v>
      </c>
      <c r="J22">
        <v>1</v>
      </c>
      <c r="K22">
        <v>1</v>
      </c>
      <c r="L22">
        <v>1</v>
      </c>
      <c r="M22" t="s">
        <v>7</v>
      </c>
      <c r="N22" t="s">
        <v>753</v>
      </c>
      <c r="O22">
        <v>30000</v>
      </c>
      <c r="P22" t="s">
        <v>752</v>
      </c>
      <c r="Q22" t="s">
        <v>750</v>
      </c>
      <c r="R22">
        <v>10</v>
      </c>
    </row>
    <row r="23" spans="1:18" x14ac:dyDescent="0.3">
      <c r="A23" t="s">
        <v>336</v>
      </c>
      <c r="B23" t="s">
        <v>0</v>
      </c>
      <c r="C23">
        <v>7.99</v>
      </c>
      <c r="D23" t="s">
        <v>337</v>
      </c>
      <c r="E23" t="s">
        <v>33</v>
      </c>
      <c r="F23" t="s">
        <v>338</v>
      </c>
      <c r="G23" t="s">
        <v>120</v>
      </c>
      <c r="H23" t="s">
        <v>1193</v>
      </c>
      <c r="I23" t="s">
        <v>1199</v>
      </c>
      <c r="J23">
        <v>1</v>
      </c>
      <c r="K23" t="s">
        <v>1200</v>
      </c>
      <c r="L23">
        <v>1</v>
      </c>
      <c r="M23" t="s">
        <v>1201</v>
      </c>
      <c r="N23" t="s">
        <v>1173</v>
      </c>
      <c r="O23">
        <v>8500</v>
      </c>
      <c r="P23" t="s">
        <v>1172</v>
      </c>
      <c r="Q23" t="s">
        <v>750</v>
      </c>
      <c r="R23">
        <v>20</v>
      </c>
    </row>
    <row r="24" spans="1:18" x14ac:dyDescent="0.3">
      <c r="A24" t="s">
        <v>339</v>
      </c>
      <c r="B24" t="s">
        <v>0</v>
      </c>
      <c r="C24">
        <v>28.4</v>
      </c>
      <c r="D24" t="s">
        <v>340</v>
      </c>
      <c r="E24" t="s">
        <v>35</v>
      </c>
      <c r="F24" t="s">
        <v>341</v>
      </c>
      <c r="G24" t="s">
        <v>18</v>
      </c>
      <c r="H24" t="s">
        <v>1179</v>
      </c>
      <c r="I24" t="s">
        <v>1202</v>
      </c>
      <c r="J24">
        <v>2</v>
      </c>
      <c r="K24">
        <v>2</v>
      </c>
      <c r="L24">
        <v>1</v>
      </c>
      <c r="M24" t="s">
        <v>341</v>
      </c>
      <c r="N24" t="s">
        <v>1173</v>
      </c>
      <c r="O24">
        <v>25000</v>
      </c>
      <c r="P24" t="s">
        <v>1172</v>
      </c>
      <c r="Q24" t="s">
        <v>751</v>
      </c>
      <c r="R24">
        <v>40</v>
      </c>
    </row>
    <row r="25" spans="1:18" x14ac:dyDescent="0.3">
      <c r="A25" t="s">
        <v>935</v>
      </c>
      <c r="B25" t="s">
        <v>0</v>
      </c>
      <c r="C25">
        <v>37.03</v>
      </c>
      <c r="D25" t="s">
        <v>126</v>
      </c>
      <c r="E25" t="s">
        <v>44</v>
      </c>
      <c r="F25" t="s">
        <v>229</v>
      </c>
      <c r="G25" t="s">
        <v>112</v>
      </c>
      <c r="H25" t="s">
        <v>1188</v>
      </c>
      <c r="I25" t="s">
        <v>1203</v>
      </c>
      <c r="J25">
        <v>2</v>
      </c>
      <c r="K25">
        <v>2</v>
      </c>
      <c r="L25">
        <v>2</v>
      </c>
      <c r="M25" t="s">
        <v>229</v>
      </c>
      <c r="N25" t="s">
        <v>753</v>
      </c>
      <c r="O25">
        <v>35000</v>
      </c>
      <c r="P25" t="s">
        <v>752</v>
      </c>
      <c r="Q25" t="s">
        <v>749</v>
      </c>
      <c r="R25">
        <v>10</v>
      </c>
    </row>
    <row r="26" spans="1:18" x14ac:dyDescent="0.3">
      <c r="A26" t="s">
        <v>10</v>
      </c>
      <c r="B26" t="s">
        <v>0</v>
      </c>
      <c r="C26">
        <v>12.55</v>
      </c>
      <c r="D26" t="s">
        <v>26</v>
      </c>
      <c r="E26" t="s">
        <v>30</v>
      </c>
      <c r="F26" t="s">
        <v>11</v>
      </c>
      <c r="G26" t="s">
        <v>12</v>
      </c>
      <c r="H26" t="s">
        <v>1188</v>
      </c>
      <c r="I26" t="s">
        <v>1193</v>
      </c>
      <c r="J26">
        <v>1</v>
      </c>
      <c r="K26">
        <v>1</v>
      </c>
      <c r="L26">
        <v>1</v>
      </c>
      <c r="M26" t="s">
        <v>11</v>
      </c>
      <c r="N26" t="s">
        <v>753</v>
      </c>
      <c r="O26">
        <v>22000</v>
      </c>
      <c r="P26" t="s">
        <v>752</v>
      </c>
      <c r="Q26" t="s">
        <v>750</v>
      </c>
      <c r="R26">
        <v>10</v>
      </c>
    </row>
    <row r="27" spans="1:18" x14ac:dyDescent="0.3">
      <c r="A27" t="s">
        <v>936</v>
      </c>
      <c r="B27" t="s">
        <v>0</v>
      </c>
      <c r="C27">
        <v>43.95</v>
      </c>
      <c r="D27" t="s">
        <v>51</v>
      </c>
      <c r="E27" t="s">
        <v>29</v>
      </c>
      <c r="F27" t="s">
        <v>343</v>
      </c>
      <c r="G27" t="s">
        <v>15</v>
      </c>
      <c r="H27" t="s">
        <v>1185</v>
      </c>
      <c r="I27" t="s">
        <v>1179</v>
      </c>
      <c r="J27">
        <v>3</v>
      </c>
      <c r="K27">
        <v>2</v>
      </c>
      <c r="L27">
        <v>2</v>
      </c>
      <c r="M27" t="s">
        <v>343</v>
      </c>
      <c r="N27" t="s">
        <v>640</v>
      </c>
      <c r="O27">
        <v>32000</v>
      </c>
      <c r="P27" t="s">
        <v>1175</v>
      </c>
      <c r="Q27" t="s">
        <v>749</v>
      </c>
      <c r="R27">
        <v>20</v>
      </c>
    </row>
    <row r="28" spans="1:18" x14ac:dyDescent="0.3">
      <c r="A28" t="s">
        <v>344</v>
      </c>
      <c r="B28" t="s">
        <v>0</v>
      </c>
      <c r="C28">
        <v>4.5999999999999996</v>
      </c>
      <c r="D28" t="s">
        <v>37</v>
      </c>
      <c r="E28" t="s">
        <v>33</v>
      </c>
      <c r="F28" t="s">
        <v>345</v>
      </c>
      <c r="G28" t="s">
        <v>218</v>
      </c>
      <c r="H28" t="s">
        <v>1181</v>
      </c>
      <c r="I28" t="s">
        <v>1181</v>
      </c>
      <c r="J28">
        <v>1</v>
      </c>
      <c r="K28" t="s">
        <v>1200</v>
      </c>
      <c r="L28">
        <v>1</v>
      </c>
      <c r="M28" t="s">
        <v>345</v>
      </c>
      <c r="N28" t="s">
        <v>1173</v>
      </c>
      <c r="O28">
        <v>6500</v>
      </c>
      <c r="P28" t="s">
        <v>1172</v>
      </c>
      <c r="Q28" t="s">
        <v>750</v>
      </c>
      <c r="R28">
        <v>10</v>
      </c>
    </row>
    <row r="29" spans="1:18" x14ac:dyDescent="0.3">
      <c r="A29" t="s">
        <v>937</v>
      </c>
      <c r="B29" t="s">
        <v>0</v>
      </c>
      <c r="C29">
        <v>17.100000000000001</v>
      </c>
      <c r="D29" t="s">
        <v>139</v>
      </c>
      <c r="E29" t="s">
        <v>30</v>
      </c>
      <c r="F29" t="s">
        <v>534</v>
      </c>
      <c r="G29" t="s">
        <v>185</v>
      </c>
      <c r="H29" t="s">
        <v>1187</v>
      </c>
      <c r="I29" t="s">
        <v>1179</v>
      </c>
      <c r="J29">
        <v>1</v>
      </c>
      <c r="K29">
        <v>1</v>
      </c>
      <c r="L29">
        <v>1</v>
      </c>
      <c r="M29" t="s">
        <v>534</v>
      </c>
      <c r="N29" t="s">
        <v>642</v>
      </c>
      <c r="O29">
        <v>20000</v>
      </c>
      <c r="P29" t="s">
        <v>752</v>
      </c>
      <c r="Q29" t="s">
        <v>751</v>
      </c>
      <c r="R29">
        <v>20</v>
      </c>
    </row>
    <row r="30" spans="1:18" x14ac:dyDescent="0.3">
      <c r="A30" t="s">
        <v>663</v>
      </c>
      <c r="B30" t="s">
        <v>0</v>
      </c>
      <c r="C30">
        <v>32.72</v>
      </c>
      <c r="D30" t="s">
        <v>146</v>
      </c>
      <c r="E30" t="s">
        <v>35</v>
      </c>
      <c r="F30" t="s">
        <v>404</v>
      </c>
      <c r="G30" t="s">
        <v>18</v>
      </c>
      <c r="H30" t="s">
        <v>1188</v>
      </c>
      <c r="I30" t="s">
        <v>1199</v>
      </c>
      <c r="J30">
        <v>2</v>
      </c>
      <c r="K30">
        <v>2</v>
      </c>
      <c r="L30">
        <v>1</v>
      </c>
      <c r="M30" t="s">
        <v>404</v>
      </c>
      <c r="N30" t="s">
        <v>642</v>
      </c>
      <c r="O30">
        <v>25000</v>
      </c>
      <c r="P30" t="s">
        <v>752</v>
      </c>
      <c r="Q30" t="s">
        <v>749</v>
      </c>
      <c r="R30">
        <v>20</v>
      </c>
    </row>
    <row r="31" spans="1:18" x14ac:dyDescent="0.3">
      <c r="A31" t="s">
        <v>347</v>
      </c>
      <c r="B31" t="s">
        <v>0</v>
      </c>
      <c r="C31">
        <v>26.03</v>
      </c>
      <c r="D31" t="s">
        <v>138</v>
      </c>
      <c r="E31" t="s">
        <v>29</v>
      </c>
      <c r="F31" t="s">
        <v>348</v>
      </c>
      <c r="G31" t="s">
        <v>239</v>
      </c>
      <c r="H31" t="s">
        <v>1198</v>
      </c>
      <c r="I31" t="s">
        <v>1181</v>
      </c>
      <c r="J31">
        <v>3</v>
      </c>
      <c r="K31">
        <v>2</v>
      </c>
      <c r="L31">
        <v>2</v>
      </c>
      <c r="M31" t="s">
        <v>348</v>
      </c>
      <c r="N31" t="s">
        <v>1173</v>
      </c>
      <c r="O31">
        <v>18500</v>
      </c>
      <c r="P31" t="s">
        <v>1172</v>
      </c>
      <c r="Q31" t="s">
        <v>751</v>
      </c>
      <c r="R31">
        <v>10</v>
      </c>
    </row>
    <row r="32" spans="1:18" x14ac:dyDescent="0.3">
      <c r="A32" t="s">
        <v>938</v>
      </c>
      <c r="B32" t="s">
        <v>0</v>
      </c>
      <c r="C32">
        <v>44.94</v>
      </c>
      <c r="D32" t="s">
        <v>461</v>
      </c>
      <c r="E32" t="s">
        <v>29</v>
      </c>
      <c r="F32" t="s">
        <v>939</v>
      </c>
      <c r="G32" t="s">
        <v>184</v>
      </c>
      <c r="H32" t="s">
        <v>1193</v>
      </c>
      <c r="I32" t="s">
        <v>1184</v>
      </c>
      <c r="J32">
        <v>3</v>
      </c>
      <c r="K32">
        <v>2</v>
      </c>
      <c r="L32">
        <v>2</v>
      </c>
      <c r="M32" t="s">
        <v>939</v>
      </c>
      <c r="N32" t="s">
        <v>640</v>
      </c>
      <c r="O32">
        <v>29800</v>
      </c>
      <c r="P32" t="s">
        <v>1175</v>
      </c>
      <c r="Q32" t="s">
        <v>749</v>
      </c>
      <c r="R32">
        <v>30</v>
      </c>
    </row>
    <row r="33" spans="1:18" x14ac:dyDescent="0.3">
      <c r="A33" t="s">
        <v>940</v>
      </c>
      <c r="B33" t="s">
        <v>0</v>
      </c>
      <c r="C33">
        <v>44.91</v>
      </c>
      <c r="D33" t="s">
        <v>217</v>
      </c>
      <c r="E33" t="s">
        <v>29</v>
      </c>
      <c r="F33" t="s">
        <v>582</v>
      </c>
      <c r="G33" t="s">
        <v>168</v>
      </c>
      <c r="H33" t="s">
        <v>1198</v>
      </c>
      <c r="I33" t="s">
        <v>1185</v>
      </c>
      <c r="J33">
        <v>3</v>
      </c>
      <c r="K33">
        <v>2</v>
      </c>
      <c r="L33">
        <v>2</v>
      </c>
      <c r="M33" t="s">
        <v>582</v>
      </c>
      <c r="N33" t="s">
        <v>1173</v>
      </c>
      <c r="O33">
        <v>33000</v>
      </c>
      <c r="P33" t="s">
        <v>1172</v>
      </c>
      <c r="Q33" t="s">
        <v>749</v>
      </c>
      <c r="R33">
        <v>20</v>
      </c>
    </row>
    <row r="34" spans="1:18" x14ac:dyDescent="0.3">
      <c r="A34" t="s">
        <v>349</v>
      </c>
      <c r="B34" t="s">
        <v>0</v>
      </c>
      <c r="C34">
        <v>35.58</v>
      </c>
      <c r="D34" t="s">
        <v>53</v>
      </c>
      <c r="E34" t="s">
        <v>29</v>
      </c>
      <c r="F34" t="s">
        <v>350</v>
      </c>
      <c r="G34" t="s">
        <v>136</v>
      </c>
      <c r="H34" t="s">
        <v>1188</v>
      </c>
      <c r="I34" t="s">
        <v>1181</v>
      </c>
      <c r="J34">
        <v>3</v>
      </c>
      <c r="K34">
        <v>2</v>
      </c>
      <c r="L34">
        <v>2</v>
      </c>
      <c r="M34" t="s">
        <v>350</v>
      </c>
      <c r="N34" t="s">
        <v>1176</v>
      </c>
      <c r="O34">
        <v>19000</v>
      </c>
      <c r="P34" t="s">
        <v>1175</v>
      </c>
      <c r="Q34" t="s">
        <v>749</v>
      </c>
      <c r="R34">
        <v>10</v>
      </c>
    </row>
    <row r="35" spans="1:18" x14ac:dyDescent="0.3">
      <c r="A35" t="s">
        <v>941</v>
      </c>
      <c r="B35" t="s">
        <v>0</v>
      </c>
      <c r="C35">
        <v>36.270000000000003</v>
      </c>
      <c r="D35" t="s">
        <v>233</v>
      </c>
      <c r="E35" t="s">
        <v>27</v>
      </c>
      <c r="F35" t="s">
        <v>533</v>
      </c>
      <c r="G35" t="s">
        <v>273</v>
      </c>
      <c r="H35" t="s">
        <v>1204</v>
      </c>
      <c r="I35" t="s">
        <v>1179</v>
      </c>
      <c r="J35">
        <v>2</v>
      </c>
      <c r="K35">
        <v>2</v>
      </c>
      <c r="L35">
        <v>2</v>
      </c>
      <c r="M35" t="s">
        <v>533</v>
      </c>
      <c r="N35" t="s">
        <v>640</v>
      </c>
      <c r="O35">
        <v>26000</v>
      </c>
      <c r="P35" t="s">
        <v>1175</v>
      </c>
      <c r="Q35" t="s">
        <v>749</v>
      </c>
      <c r="R35">
        <v>20</v>
      </c>
    </row>
    <row r="36" spans="1:18" x14ac:dyDescent="0.3">
      <c r="A36" t="s">
        <v>354</v>
      </c>
      <c r="B36" t="s">
        <v>0</v>
      </c>
      <c r="C36">
        <v>5.7</v>
      </c>
      <c r="D36" t="s">
        <v>108</v>
      </c>
      <c r="E36" t="s">
        <v>30</v>
      </c>
      <c r="F36" t="s">
        <v>355</v>
      </c>
      <c r="G36" t="s">
        <v>13</v>
      </c>
      <c r="H36" t="s">
        <v>1188</v>
      </c>
      <c r="I36" t="s">
        <v>1187</v>
      </c>
      <c r="J36">
        <v>1</v>
      </c>
      <c r="K36">
        <v>1</v>
      </c>
      <c r="L36">
        <v>1</v>
      </c>
      <c r="M36" t="s">
        <v>355</v>
      </c>
      <c r="N36" t="s">
        <v>1173</v>
      </c>
      <c r="O36">
        <v>12000</v>
      </c>
      <c r="P36" t="s">
        <v>1172</v>
      </c>
      <c r="Q36" t="s">
        <v>750</v>
      </c>
      <c r="R36">
        <v>10</v>
      </c>
    </row>
    <row r="37" spans="1:18" x14ac:dyDescent="0.3">
      <c r="A37" t="s">
        <v>356</v>
      </c>
      <c r="B37" t="s">
        <v>0</v>
      </c>
      <c r="C37">
        <v>5.7</v>
      </c>
      <c r="D37" t="s">
        <v>108</v>
      </c>
      <c r="E37" t="s">
        <v>30</v>
      </c>
      <c r="F37" t="s">
        <v>355</v>
      </c>
      <c r="G37" t="s">
        <v>13</v>
      </c>
      <c r="H37" t="s">
        <v>1188</v>
      </c>
      <c r="I37" t="s">
        <v>1187</v>
      </c>
      <c r="J37">
        <v>1</v>
      </c>
      <c r="K37">
        <v>1</v>
      </c>
      <c r="L37">
        <v>1</v>
      </c>
      <c r="M37" t="s">
        <v>355</v>
      </c>
      <c r="N37" t="s">
        <v>1173</v>
      </c>
      <c r="O37">
        <v>12000</v>
      </c>
      <c r="P37" t="s">
        <v>1172</v>
      </c>
      <c r="Q37" t="s">
        <v>750</v>
      </c>
      <c r="R37">
        <v>10</v>
      </c>
    </row>
    <row r="38" spans="1:18" x14ac:dyDescent="0.3">
      <c r="A38" t="s">
        <v>357</v>
      </c>
      <c r="B38" t="s">
        <v>0</v>
      </c>
      <c r="C38">
        <v>5.7</v>
      </c>
      <c r="D38" t="s">
        <v>108</v>
      </c>
      <c r="E38" t="s">
        <v>30</v>
      </c>
      <c r="F38" t="s">
        <v>355</v>
      </c>
      <c r="G38" t="s">
        <v>13</v>
      </c>
      <c r="H38" t="s">
        <v>1188</v>
      </c>
      <c r="I38" t="s">
        <v>1187</v>
      </c>
      <c r="J38">
        <v>1</v>
      </c>
      <c r="K38">
        <v>1</v>
      </c>
      <c r="L38">
        <v>1</v>
      </c>
      <c r="M38" t="s">
        <v>355</v>
      </c>
      <c r="N38" t="s">
        <v>1173</v>
      </c>
      <c r="O38">
        <v>12000</v>
      </c>
      <c r="P38" t="s">
        <v>1172</v>
      </c>
      <c r="Q38" t="s">
        <v>750</v>
      </c>
      <c r="R38">
        <v>10</v>
      </c>
    </row>
    <row r="39" spans="1:18" x14ac:dyDescent="0.3">
      <c r="A39" t="s">
        <v>358</v>
      </c>
      <c r="B39" t="s">
        <v>0</v>
      </c>
      <c r="C39">
        <v>5.7</v>
      </c>
      <c r="D39" t="s">
        <v>39</v>
      </c>
      <c r="E39" t="s">
        <v>30</v>
      </c>
      <c r="F39" t="s">
        <v>355</v>
      </c>
      <c r="G39" t="s">
        <v>13</v>
      </c>
      <c r="H39" t="s">
        <v>1187</v>
      </c>
      <c r="I39" t="s">
        <v>1187</v>
      </c>
      <c r="J39">
        <v>1</v>
      </c>
      <c r="K39">
        <v>1</v>
      </c>
      <c r="L39">
        <v>1</v>
      </c>
      <c r="M39" t="s">
        <v>355</v>
      </c>
      <c r="N39" t="s">
        <v>1173</v>
      </c>
      <c r="O39">
        <v>12000</v>
      </c>
      <c r="P39" t="s">
        <v>1172</v>
      </c>
      <c r="Q39" t="s">
        <v>750</v>
      </c>
      <c r="R39">
        <v>10</v>
      </c>
    </row>
    <row r="40" spans="1:18" x14ac:dyDescent="0.3">
      <c r="A40" t="s">
        <v>359</v>
      </c>
      <c r="B40" t="s">
        <v>0</v>
      </c>
      <c r="C40">
        <v>5.7</v>
      </c>
      <c r="D40" t="s">
        <v>39</v>
      </c>
      <c r="E40" t="s">
        <v>30</v>
      </c>
      <c r="F40" t="s">
        <v>355</v>
      </c>
      <c r="G40" t="s">
        <v>13</v>
      </c>
      <c r="H40" t="s">
        <v>1187</v>
      </c>
      <c r="I40" t="s">
        <v>1187</v>
      </c>
      <c r="J40">
        <v>1</v>
      </c>
      <c r="K40">
        <v>1</v>
      </c>
      <c r="L40">
        <v>1</v>
      </c>
      <c r="M40" t="s">
        <v>355</v>
      </c>
      <c r="N40" t="s">
        <v>1173</v>
      </c>
      <c r="O40">
        <v>12000</v>
      </c>
      <c r="P40" t="s">
        <v>1172</v>
      </c>
      <c r="Q40" t="s">
        <v>750</v>
      </c>
      <c r="R40">
        <v>10</v>
      </c>
    </row>
    <row r="41" spans="1:18" x14ac:dyDescent="0.3">
      <c r="A41" t="s">
        <v>942</v>
      </c>
      <c r="B41" t="s">
        <v>0</v>
      </c>
      <c r="C41">
        <v>46.18</v>
      </c>
      <c r="D41" t="s">
        <v>48</v>
      </c>
      <c r="E41" t="s">
        <v>35</v>
      </c>
      <c r="F41" t="s">
        <v>586</v>
      </c>
      <c r="G41" t="s">
        <v>115</v>
      </c>
      <c r="H41" t="s">
        <v>1187</v>
      </c>
      <c r="I41" t="s">
        <v>1183</v>
      </c>
      <c r="J41">
        <v>2</v>
      </c>
      <c r="K41">
        <v>2</v>
      </c>
      <c r="L41">
        <v>1</v>
      </c>
      <c r="M41" t="s">
        <v>586</v>
      </c>
      <c r="N41" t="s">
        <v>644</v>
      </c>
      <c r="O41">
        <v>30000</v>
      </c>
      <c r="P41" t="s">
        <v>752</v>
      </c>
      <c r="Q41" t="s">
        <v>749</v>
      </c>
      <c r="R41">
        <v>20</v>
      </c>
    </row>
    <row r="42" spans="1:18" x14ac:dyDescent="0.3">
      <c r="A42" t="s">
        <v>943</v>
      </c>
      <c r="B42" t="s">
        <v>0</v>
      </c>
      <c r="C42">
        <v>47.36</v>
      </c>
      <c r="D42" t="s">
        <v>131</v>
      </c>
      <c r="E42" t="s">
        <v>29</v>
      </c>
      <c r="F42" t="s">
        <v>518</v>
      </c>
      <c r="G42" t="s">
        <v>115</v>
      </c>
      <c r="H42" t="s">
        <v>1188</v>
      </c>
      <c r="I42" t="s">
        <v>1178</v>
      </c>
      <c r="J42">
        <v>3</v>
      </c>
      <c r="K42">
        <v>2</v>
      </c>
      <c r="L42">
        <v>2</v>
      </c>
      <c r="M42" t="s">
        <v>518</v>
      </c>
      <c r="N42" t="s">
        <v>644</v>
      </c>
      <c r="O42">
        <v>30000</v>
      </c>
      <c r="P42" t="s">
        <v>752</v>
      </c>
      <c r="Q42" t="s">
        <v>749</v>
      </c>
      <c r="R42">
        <v>20</v>
      </c>
    </row>
    <row r="43" spans="1:18" x14ac:dyDescent="0.3">
      <c r="A43" t="s">
        <v>944</v>
      </c>
      <c r="B43" t="s">
        <v>0</v>
      </c>
      <c r="C43">
        <v>38.83</v>
      </c>
      <c r="D43" t="s">
        <v>76</v>
      </c>
      <c r="E43" t="s">
        <v>945</v>
      </c>
      <c r="F43" t="s">
        <v>423</v>
      </c>
      <c r="G43" t="s">
        <v>18</v>
      </c>
      <c r="H43" t="s">
        <v>1203</v>
      </c>
      <c r="I43" t="s">
        <v>1179</v>
      </c>
      <c r="J43">
        <v>1</v>
      </c>
      <c r="K43">
        <v>2</v>
      </c>
      <c r="L43">
        <v>2</v>
      </c>
      <c r="M43" t="s">
        <v>423</v>
      </c>
      <c r="N43" t="s">
        <v>640</v>
      </c>
      <c r="O43">
        <v>25000</v>
      </c>
      <c r="P43" t="s">
        <v>1175</v>
      </c>
      <c r="Q43" t="s">
        <v>749</v>
      </c>
      <c r="R43">
        <v>20</v>
      </c>
    </row>
    <row r="44" spans="1:18" x14ac:dyDescent="0.3">
      <c r="A44" t="s">
        <v>946</v>
      </c>
      <c r="B44" t="s">
        <v>0</v>
      </c>
      <c r="C44">
        <v>35.81</v>
      </c>
      <c r="D44" t="s">
        <v>34</v>
      </c>
      <c r="E44" t="s">
        <v>29</v>
      </c>
      <c r="F44" t="s">
        <v>947</v>
      </c>
      <c r="G44" t="s">
        <v>15</v>
      </c>
      <c r="H44" t="s">
        <v>1187</v>
      </c>
      <c r="I44" t="s">
        <v>1181</v>
      </c>
      <c r="J44">
        <v>3</v>
      </c>
      <c r="K44">
        <v>2</v>
      </c>
      <c r="L44">
        <v>2</v>
      </c>
      <c r="M44" t="s">
        <v>947</v>
      </c>
      <c r="N44" t="s">
        <v>639</v>
      </c>
      <c r="O44">
        <v>32000</v>
      </c>
      <c r="P44" t="s">
        <v>752</v>
      </c>
      <c r="Q44" t="s">
        <v>749</v>
      </c>
      <c r="R44">
        <v>10</v>
      </c>
    </row>
    <row r="45" spans="1:18" x14ac:dyDescent="0.3">
      <c r="A45" t="s">
        <v>948</v>
      </c>
      <c r="B45" t="s">
        <v>0</v>
      </c>
      <c r="C45">
        <v>9.8800000000000008</v>
      </c>
      <c r="D45" t="s">
        <v>37</v>
      </c>
      <c r="E45" t="s">
        <v>33</v>
      </c>
      <c r="F45" t="s">
        <v>949</v>
      </c>
      <c r="G45" t="s">
        <v>553</v>
      </c>
      <c r="H45" t="s">
        <v>1181</v>
      </c>
      <c r="I45" t="s">
        <v>1181</v>
      </c>
      <c r="J45">
        <v>1</v>
      </c>
      <c r="K45" t="s">
        <v>1200</v>
      </c>
      <c r="L45">
        <v>1</v>
      </c>
      <c r="M45" t="s">
        <v>949</v>
      </c>
      <c r="N45" t="s">
        <v>642</v>
      </c>
      <c r="O45">
        <v>10500</v>
      </c>
      <c r="P45" t="s">
        <v>752</v>
      </c>
      <c r="Q45" t="s">
        <v>750</v>
      </c>
      <c r="R45">
        <v>10</v>
      </c>
    </row>
    <row r="46" spans="1:18" x14ac:dyDescent="0.3">
      <c r="A46" t="s">
        <v>361</v>
      </c>
      <c r="B46" t="s">
        <v>0</v>
      </c>
      <c r="C46">
        <v>32.21</v>
      </c>
      <c r="D46" t="s">
        <v>200</v>
      </c>
      <c r="E46" t="s">
        <v>29</v>
      </c>
      <c r="F46" t="s">
        <v>362</v>
      </c>
      <c r="G46" t="s">
        <v>116</v>
      </c>
      <c r="H46" t="s">
        <v>1205</v>
      </c>
      <c r="I46" t="s">
        <v>1189</v>
      </c>
      <c r="J46">
        <v>3</v>
      </c>
      <c r="K46">
        <v>2</v>
      </c>
      <c r="L46">
        <v>2</v>
      </c>
      <c r="M46" t="s">
        <v>1206</v>
      </c>
      <c r="N46" t="s">
        <v>1173</v>
      </c>
      <c r="O46">
        <v>23000</v>
      </c>
      <c r="P46" t="s">
        <v>1172</v>
      </c>
      <c r="Q46" t="s">
        <v>749</v>
      </c>
      <c r="R46">
        <v>20</v>
      </c>
    </row>
    <row r="47" spans="1:18" x14ac:dyDescent="0.3">
      <c r="A47" t="s">
        <v>363</v>
      </c>
      <c r="B47" t="s">
        <v>0</v>
      </c>
      <c r="C47">
        <v>26.79</v>
      </c>
      <c r="D47" t="s">
        <v>364</v>
      </c>
      <c r="E47" t="s">
        <v>72</v>
      </c>
      <c r="F47" t="s">
        <v>365</v>
      </c>
      <c r="G47" t="s">
        <v>273</v>
      </c>
      <c r="H47" t="s">
        <v>1199</v>
      </c>
      <c r="I47" t="s">
        <v>1196</v>
      </c>
      <c r="J47">
        <v>2</v>
      </c>
      <c r="K47">
        <v>1</v>
      </c>
      <c r="L47">
        <v>1</v>
      </c>
      <c r="M47" t="s">
        <v>365</v>
      </c>
      <c r="N47" t="s">
        <v>1173</v>
      </c>
      <c r="O47">
        <v>26000</v>
      </c>
      <c r="P47" t="s">
        <v>1172</v>
      </c>
      <c r="Q47" t="s">
        <v>751</v>
      </c>
      <c r="R47">
        <v>30</v>
      </c>
    </row>
    <row r="48" spans="1:18" x14ac:dyDescent="0.3">
      <c r="A48" t="s">
        <v>950</v>
      </c>
      <c r="B48" t="s">
        <v>0</v>
      </c>
      <c r="C48">
        <v>79.72</v>
      </c>
      <c r="D48" t="s">
        <v>230</v>
      </c>
      <c r="E48" t="s">
        <v>311</v>
      </c>
      <c r="F48" t="s">
        <v>951</v>
      </c>
      <c r="G48" t="s">
        <v>112</v>
      </c>
      <c r="H48" t="s">
        <v>1207</v>
      </c>
      <c r="I48" t="s">
        <v>1187</v>
      </c>
      <c r="J48">
        <v>4</v>
      </c>
      <c r="K48">
        <v>3</v>
      </c>
      <c r="L48">
        <v>3</v>
      </c>
      <c r="M48" t="s">
        <v>951</v>
      </c>
      <c r="N48" t="s">
        <v>639</v>
      </c>
      <c r="O48">
        <v>35000</v>
      </c>
      <c r="P48" t="s">
        <v>752</v>
      </c>
      <c r="Q48" t="s">
        <v>749</v>
      </c>
      <c r="R48">
        <v>10</v>
      </c>
    </row>
    <row r="49" spans="1:18" x14ac:dyDescent="0.3">
      <c r="A49" t="s">
        <v>952</v>
      </c>
      <c r="B49" t="s">
        <v>0</v>
      </c>
      <c r="C49">
        <v>23.66</v>
      </c>
      <c r="D49" t="s">
        <v>240</v>
      </c>
      <c r="E49" t="s">
        <v>72</v>
      </c>
      <c r="F49" t="s">
        <v>953</v>
      </c>
      <c r="G49" t="s">
        <v>18</v>
      </c>
      <c r="H49" t="s">
        <v>1198</v>
      </c>
      <c r="I49" t="s">
        <v>1179</v>
      </c>
      <c r="J49">
        <v>2</v>
      </c>
      <c r="K49">
        <v>1</v>
      </c>
      <c r="L49">
        <v>1</v>
      </c>
      <c r="M49" t="s">
        <v>953</v>
      </c>
      <c r="N49" t="s">
        <v>640</v>
      </c>
      <c r="O49">
        <v>25000</v>
      </c>
      <c r="P49" t="s">
        <v>1175</v>
      </c>
      <c r="Q49" t="s">
        <v>751</v>
      </c>
      <c r="R49">
        <v>20</v>
      </c>
    </row>
    <row r="50" spans="1:18" x14ac:dyDescent="0.3">
      <c r="A50" t="s">
        <v>954</v>
      </c>
      <c r="B50" t="s">
        <v>0</v>
      </c>
      <c r="C50">
        <v>23.84</v>
      </c>
      <c r="D50" t="s">
        <v>223</v>
      </c>
      <c r="E50" t="s">
        <v>72</v>
      </c>
      <c r="F50" t="s">
        <v>953</v>
      </c>
      <c r="G50" t="s">
        <v>273</v>
      </c>
      <c r="H50" t="s">
        <v>1205</v>
      </c>
      <c r="I50" t="s">
        <v>1179</v>
      </c>
      <c r="J50">
        <v>2</v>
      </c>
      <c r="K50">
        <v>1</v>
      </c>
      <c r="L50">
        <v>1</v>
      </c>
      <c r="M50" t="s">
        <v>953</v>
      </c>
      <c r="N50" t="s">
        <v>640</v>
      </c>
      <c r="O50">
        <v>26000</v>
      </c>
      <c r="P50" t="s">
        <v>1175</v>
      </c>
      <c r="Q50" t="s">
        <v>751</v>
      </c>
      <c r="R50">
        <v>20</v>
      </c>
    </row>
    <row r="51" spans="1:18" x14ac:dyDescent="0.3">
      <c r="A51" t="s">
        <v>366</v>
      </c>
      <c r="B51" t="s">
        <v>0</v>
      </c>
      <c r="C51">
        <v>52.66</v>
      </c>
      <c r="D51" t="s">
        <v>299</v>
      </c>
      <c r="E51" t="s">
        <v>27</v>
      </c>
      <c r="F51" t="s">
        <v>367</v>
      </c>
      <c r="G51" t="s">
        <v>54</v>
      </c>
      <c r="H51" t="s">
        <v>1179</v>
      </c>
      <c r="I51" t="s">
        <v>1208</v>
      </c>
      <c r="J51">
        <v>2</v>
      </c>
      <c r="K51">
        <v>2</v>
      </c>
      <c r="L51">
        <v>2</v>
      </c>
      <c r="M51" t="s">
        <v>367</v>
      </c>
      <c r="N51" t="s">
        <v>1176</v>
      </c>
      <c r="O51">
        <v>28000</v>
      </c>
      <c r="P51" t="s">
        <v>1175</v>
      </c>
      <c r="Q51" t="s">
        <v>749</v>
      </c>
      <c r="R51">
        <v>20</v>
      </c>
    </row>
    <row r="52" spans="1:18" x14ac:dyDescent="0.3">
      <c r="A52" t="s">
        <v>955</v>
      </c>
      <c r="B52" t="s">
        <v>0</v>
      </c>
      <c r="C52">
        <v>49.43</v>
      </c>
      <c r="D52" t="s">
        <v>28</v>
      </c>
      <c r="E52" t="s">
        <v>29</v>
      </c>
      <c r="F52" t="s">
        <v>390</v>
      </c>
      <c r="G52" t="s">
        <v>8</v>
      </c>
      <c r="H52" t="s">
        <v>1178</v>
      </c>
      <c r="I52" t="s">
        <v>1179</v>
      </c>
      <c r="J52">
        <v>3</v>
      </c>
      <c r="K52">
        <v>2</v>
      </c>
      <c r="L52">
        <v>2</v>
      </c>
      <c r="M52" t="s">
        <v>390</v>
      </c>
      <c r="N52" t="s">
        <v>643</v>
      </c>
      <c r="O52">
        <v>31000</v>
      </c>
      <c r="P52" t="s">
        <v>752</v>
      </c>
      <c r="Q52" t="s">
        <v>749</v>
      </c>
      <c r="R52">
        <v>20</v>
      </c>
    </row>
    <row r="53" spans="1:18" x14ac:dyDescent="0.3">
      <c r="A53" t="s">
        <v>956</v>
      </c>
      <c r="B53" t="s">
        <v>0</v>
      </c>
      <c r="C53">
        <v>21.31</v>
      </c>
      <c r="D53" t="s">
        <v>53</v>
      </c>
      <c r="E53" t="s">
        <v>29</v>
      </c>
      <c r="F53" t="s">
        <v>957</v>
      </c>
      <c r="G53" t="s">
        <v>52</v>
      </c>
      <c r="H53" t="s">
        <v>1188</v>
      </c>
      <c r="I53" t="s">
        <v>1181</v>
      </c>
      <c r="J53">
        <v>3</v>
      </c>
      <c r="K53">
        <v>2</v>
      </c>
      <c r="L53">
        <v>2</v>
      </c>
      <c r="M53" t="s">
        <v>957</v>
      </c>
      <c r="N53" t="s">
        <v>642</v>
      </c>
      <c r="O53">
        <v>24000</v>
      </c>
      <c r="P53" t="s">
        <v>752</v>
      </c>
      <c r="Q53" t="s">
        <v>751</v>
      </c>
      <c r="R53">
        <v>10</v>
      </c>
    </row>
    <row r="54" spans="1:18" x14ac:dyDescent="0.3">
      <c r="A54" t="s">
        <v>368</v>
      </c>
      <c r="B54" t="s">
        <v>0</v>
      </c>
      <c r="C54">
        <v>6</v>
      </c>
      <c r="D54" t="s">
        <v>34</v>
      </c>
      <c r="E54" t="s">
        <v>197</v>
      </c>
      <c r="F54" t="s">
        <v>369</v>
      </c>
      <c r="G54" t="s">
        <v>147</v>
      </c>
      <c r="H54" t="s">
        <v>1187</v>
      </c>
      <c r="I54" t="s">
        <v>1181</v>
      </c>
      <c r="J54">
        <v>1</v>
      </c>
      <c r="K54" t="s">
        <v>1200</v>
      </c>
      <c r="L54" t="s">
        <v>1200</v>
      </c>
      <c r="M54" t="s">
        <v>369</v>
      </c>
      <c r="N54" t="s">
        <v>640</v>
      </c>
      <c r="O54">
        <v>6000</v>
      </c>
      <c r="P54" t="s">
        <v>1175</v>
      </c>
      <c r="Q54" t="s">
        <v>750</v>
      </c>
      <c r="R54">
        <v>10</v>
      </c>
    </row>
    <row r="55" spans="1:18" x14ac:dyDescent="0.3">
      <c r="A55" t="s">
        <v>370</v>
      </c>
      <c r="B55" t="s">
        <v>0</v>
      </c>
      <c r="C55">
        <v>6</v>
      </c>
      <c r="D55" t="s">
        <v>34</v>
      </c>
      <c r="E55" t="s">
        <v>197</v>
      </c>
      <c r="F55" t="s">
        <v>369</v>
      </c>
      <c r="G55" t="s">
        <v>21</v>
      </c>
      <c r="H55" t="s">
        <v>1187</v>
      </c>
      <c r="I55" t="s">
        <v>1181</v>
      </c>
      <c r="J55">
        <v>1</v>
      </c>
      <c r="K55" t="s">
        <v>1200</v>
      </c>
      <c r="L55" t="s">
        <v>1200</v>
      </c>
      <c r="M55" t="s">
        <v>369</v>
      </c>
      <c r="N55" t="s">
        <v>640</v>
      </c>
      <c r="O55">
        <v>7500</v>
      </c>
      <c r="P55" t="s">
        <v>1175</v>
      </c>
      <c r="Q55" t="s">
        <v>750</v>
      </c>
      <c r="R55">
        <v>10</v>
      </c>
    </row>
    <row r="56" spans="1:18" x14ac:dyDescent="0.3">
      <c r="A56" t="s">
        <v>371</v>
      </c>
      <c r="B56" t="s">
        <v>0</v>
      </c>
      <c r="C56">
        <v>6</v>
      </c>
      <c r="D56" t="s">
        <v>34</v>
      </c>
      <c r="E56" t="s">
        <v>33</v>
      </c>
      <c r="F56" t="s">
        <v>369</v>
      </c>
      <c r="G56" t="s">
        <v>253</v>
      </c>
      <c r="H56" t="s">
        <v>1187</v>
      </c>
      <c r="I56" t="s">
        <v>1181</v>
      </c>
      <c r="J56">
        <v>1</v>
      </c>
      <c r="K56" t="s">
        <v>1200</v>
      </c>
      <c r="L56">
        <v>1</v>
      </c>
      <c r="M56" t="s">
        <v>369</v>
      </c>
      <c r="N56" t="s">
        <v>640</v>
      </c>
      <c r="O56">
        <v>9500</v>
      </c>
      <c r="P56" t="s">
        <v>1175</v>
      </c>
      <c r="Q56" t="s">
        <v>750</v>
      </c>
      <c r="R56">
        <v>10</v>
      </c>
    </row>
    <row r="57" spans="1:18" x14ac:dyDescent="0.3">
      <c r="A57" t="s">
        <v>372</v>
      </c>
      <c r="B57" t="s">
        <v>0</v>
      </c>
      <c r="C57">
        <v>6</v>
      </c>
      <c r="D57" t="s">
        <v>34</v>
      </c>
      <c r="E57" t="s">
        <v>33</v>
      </c>
      <c r="F57" t="s">
        <v>369</v>
      </c>
      <c r="G57" t="s">
        <v>120</v>
      </c>
      <c r="H57" t="s">
        <v>1187</v>
      </c>
      <c r="I57" t="s">
        <v>1181</v>
      </c>
      <c r="J57">
        <v>1</v>
      </c>
      <c r="K57" t="s">
        <v>1200</v>
      </c>
      <c r="L57">
        <v>1</v>
      </c>
      <c r="M57" t="s">
        <v>369</v>
      </c>
      <c r="N57" t="s">
        <v>640</v>
      </c>
      <c r="O57">
        <v>8500</v>
      </c>
      <c r="P57" t="s">
        <v>1175</v>
      </c>
      <c r="Q57" t="s">
        <v>750</v>
      </c>
      <c r="R57">
        <v>10</v>
      </c>
    </row>
    <row r="58" spans="1:18" x14ac:dyDescent="0.3">
      <c r="A58" t="s">
        <v>373</v>
      </c>
      <c r="B58" t="s">
        <v>0</v>
      </c>
      <c r="C58">
        <v>32.96</v>
      </c>
      <c r="D58" t="s">
        <v>314</v>
      </c>
      <c r="E58" t="s">
        <v>72</v>
      </c>
      <c r="F58" t="s">
        <v>374</v>
      </c>
      <c r="G58" t="s">
        <v>68</v>
      </c>
      <c r="H58" t="s">
        <v>1195</v>
      </c>
      <c r="I58" t="s">
        <v>1209</v>
      </c>
      <c r="J58">
        <v>2</v>
      </c>
      <c r="K58">
        <v>1</v>
      </c>
      <c r="L58">
        <v>1</v>
      </c>
      <c r="M58" t="s">
        <v>374</v>
      </c>
      <c r="N58" t="s">
        <v>642</v>
      </c>
      <c r="O58">
        <v>43000</v>
      </c>
      <c r="P58" t="s">
        <v>752</v>
      </c>
      <c r="Q58" t="s">
        <v>749</v>
      </c>
      <c r="R58">
        <v>30</v>
      </c>
    </row>
    <row r="59" spans="1:18" x14ac:dyDescent="0.3">
      <c r="A59" t="s">
        <v>958</v>
      </c>
      <c r="B59" t="s">
        <v>0</v>
      </c>
      <c r="C59">
        <v>9.08</v>
      </c>
      <c r="D59" t="s">
        <v>375</v>
      </c>
      <c r="E59" t="s">
        <v>30</v>
      </c>
      <c r="F59" t="s">
        <v>376</v>
      </c>
      <c r="G59" t="s">
        <v>234</v>
      </c>
      <c r="H59" t="s">
        <v>1210</v>
      </c>
      <c r="I59" t="s">
        <v>1195</v>
      </c>
      <c r="J59">
        <v>1</v>
      </c>
      <c r="K59">
        <v>1</v>
      </c>
      <c r="L59">
        <v>1</v>
      </c>
      <c r="M59" t="s">
        <v>376</v>
      </c>
      <c r="N59" t="s">
        <v>1173</v>
      </c>
      <c r="O59">
        <v>11000</v>
      </c>
      <c r="P59" t="s">
        <v>1172</v>
      </c>
      <c r="Q59" t="s">
        <v>750</v>
      </c>
      <c r="R59">
        <v>30</v>
      </c>
    </row>
    <row r="60" spans="1:18" x14ac:dyDescent="0.3">
      <c r="A60" t="s">
        <v>959</v>
      </c>
      <c r="B60" t="s">
        <v>0</v>
      </c>
      <c r="C60">
        <v>47.77</v>
      </c>
      <c r="D60" t="s">
        <v>485</v>
      </c>
      <c r="E60" t="s">
        <v>29</v>
      </c>
      <c r="F60" t="s">
        <v>565</v>
      </c>
      <c r="G60" t="s">
        <v>14</v>
      </c>
      <c r="H60" t="s">
        <v>1195</v>
      </c>
      <c r="I60" t="s">
        <v>1211</v>
      </c>
      <c r="J60">
        <v>3</v>
      </c>
      <c r="K60">
        <v>2</v>
      </c>
      <c r="L60">
        <v>2</v>
      </c>
      <c r="M60" t="s">
        <v>565</v>
      </c>
      <c r="N60" t="s">
        <v>1173</v>
      </c>
      <c r="O60">
        <v>40000</v>
      </c>
      <c r="P60" t="s">
        <v>1172</v>
      </c>
      <c r="Q60" t="s">
        <v>749</v>
      </c>
      <c r="R60">
        <v>30</v>
      </c>
    </row>
    <row r="61" spans="1:18" x14ac:dyDescent="0.3">
      <c r="A61" t="s">
        <v>379</v>
      </c>
      <c r="B61" t="s">
        <v>0</v>
      </c>
      <c r="C61">
        <v>15.66</v>
      </c>
      <c r="D61" t="s">
        <v>66</v>
      </c>
      <c r="E61" t="s">
        <v>30</v>
      </c>
      <c r="F61" t="s">
        <v>378</v>
      </c>
      <c r="G61" t="s">
        <v>380</v>
      </c>
      <c r="H61" t="s">
        <v>1204</v>
      </c>
      <c r="I61" t="s">
        <v>1182</v>
      </c>
      <c r="J61">
        <v>1</v>
      </c>
      <c r="K61">
        <v>1</v>
      </c>
      <c r="L61">
        <v>1</v>
      </c>
      <c r="M61" t="s">
        <v>378</v>
      </c>
      <c r="N61" t="s">
        <v>642</v>
      </c>
      <c r="O61">
        <v>17500</v>
      </c>
      <c r="P61" t="s">
        <v>752</v>
      </c>
      <c r="Q61" t="s">
        <v>751</v>
      </c>
      <c r="R61">
        <v>10</v>
      </c>
    </row>
    <row r="62" spans="1:18" x14ac:dyDescent="0.3">
      <c r="A62" t="s">
        <v>960</v>
      </c>
      <c r="B62" t="s">
        <v>0</v>
      </c>
      <c r="C62">
        <v>51.87</v>
      </c>
      <c r="D62" t="s">
        <v>248</v>
      </c>
      <c r="E62" t="s">
        <v>29</v>
      </c>
      <c r="F62" t="s">
        <v>599</v>
      </c>
      <c r="G62" t="s">
        <v>331</v>
      </c>
      <c r="H62" t="s">
        <v>1183</v>
      </c>
      <c r="I62" t="s">
        <v>1179</v>
      </c>
      <c r="J62">
        <v>3</v>
      </c>
      <c r="K62">
        <v>2</v>
      </c>
      <c r="L62">
        <v>2</v>
      </c>
      <c r="M62" t="s">
        <v>599</v>
      </c>
      <c r="N62" t="s">
        <v>642</v>
      </c>
      <c r="O62">
        <v>28500</v>
      </c>
      <c r="P62" t="s">
        <v>752</v>
      </c>
      <c r="Q62" t="s">
        <v>749</v>
      </c>
      <c r="R62">
        <v>20</v>
      </c>
    </row>
    <row r="63" spans="1:18" x14ac:dyDescent="0.3">
      <c r="A63" t="s">
        <v>961</v>
      </c>
      <c r="B63" t="s">
        <v>0</v>
      </c>
      <c r="C63">
        <v>15.16</v>
      </c>
      <c r="D63" t="s">
        <v>173</v>
      </c>
      <c r="E63" t="s">
        <v>47</v>
      </c>
      <c r="F63" t="s">
        <v>962</v>
      </c>
      <c r="G63" t="s">
        <v>191</v>
      </c>
      <c r="H63" t="s">
        <v>1198</v>
      </c>
      <c r="I63" t="s">
        <v>1187</v>
      </c>
      <c r="J63">
        <v>1</v>
      </c>
      <c r="K63">
        <v>2</v>
      </c>
      <c r="L63">
        <v>1</v>
      </c>
      <c r="M63" t="s">
        <v>962</v>
      </c>
      <c r="N63" t="s">
        <v>642</v>
      </c>
      <c r="O63">
        <v>13000</v>
      </c>
      <c r="P63" t="s">
        <v>752</v>
      </c>
      <c r="Q63" t="s">
        <v>751</v>
      </c>
      <c r="R63">
        <v>10</v>
      </c>
    </row>
    <row r="64" spans="1:18" x14ac:dyDescent="0.3">
      <c r="A64" t="s">
        <v>963</v>
      </c>
      <c r="B64" t="s">
        <v>0</v>
      </c>
      <c r="C64">
        <v>46.92</v>
      </c>
      <c r="D64" t="s">
        <v>161</v>
      </c>
      <c r="E64" t="s">
        <v>40</v>
      </c>
      <c r="F64" t="s">
        <v>964</v>
      </c>
      <c r="G64" t="s">
        <v>604</v>
      </c>
      <c r="H64" t="s">
        <v>1187</v>
      </c>
      <c r="I64" t="s">
        <v>1204</v>
      </c>
      <c r="J64">
        <v>4</v>
      </c>
      <c r="K64">
        <v>2</v>
      </c>
      <c r="L64">
        <v>2</v>
      </c>
      <c r="M64" t="s">
        <v>964</v>
      </c>
      <c r="N64" t="s">
        <v>753</v>
      </c>
      <c r="O64">
        <v>36500</v>
      </c>
      <c r="P64" t="s">
        <v>752</v>
      </c>
      <c r="Q64" t="s">
        <v>749</v>
      </c>
      <c r="R64">
        <v>10</v>
      </c>
    </row>
    <row r="65" spans="1:18" x14ac:dyDescent="0.3">
      <c r="A65" t="s">
        <v>965</v>
      </c>
      <c r="B65" t="s">
        <v>0</v>
      </c>
      <c r="C65">
        <v>25.39</v>
      </c>
      <c r="D65" t="s">
        <v>108</v>
      </c>
      <c r="E65" t="s">
        <v>238</v>
      </c>
      <c r="F65" t="s">
        <v>966</v>
      </c>
      <c r="G65" t="s">
        <v>18</v>
      </c>
      <c r="H65" t="s">
        <v>1188</v>
      </c>
      <c r="I65" t="s">
        <v>1187</v>
      </c>
      <c r="J65">
        <v>3</v>
      </c>
      <c r="K65">
        <v>2</v>
      </c>
      <c r="L65">
        <v>1</v>
      </c>
      <c r="M65" t="s">
        <v>966</v>
      </c>
      <c r="N65" t="s">
        <v>642</v>
      </c>
      <c r="O65">
        <v>25000</v>
      </c>
      <c r="P65" t="s">
        <v>752</v>
      </c>
      <c r="Q65" t="s">
        <v>751</v>
      </c>
      <c r="R65">
        <v>10</v>
      </c>
    </row>
    <row r="66" spans="1:18" x14ac:dyDescent="0.3">
      <c r="A66" t="s">
        <v>967</v>
      </c>
      <c r="B66" t="s">
        <v>0</v>
      </c>
      <c r="C66">
        <v>36.090000000000003</v>
      </c>
      <c r="D66" t="s">
        <v>277</v>
      </c>
      <c r="E66" t="s">
        <v>35</v>
      </c>
      <c r="F66" t="s">
        <v>968</v>
      </c>
      <c r="G66" t="s">
        <v>99</v>
      </c>
      <c r="H66" t="s">
        <v>1210</v>
      </c>
      <c r="I66" t="s">
        <v>1196</v>
      </c>
      <c r="J66">
        <v>2</v>
      </c>
      <c r="K66">
        <v>2</v>
      </c>
      <c r="L66">
        <v>1</v>
      </c>
      <c r="M66" t="s">
        <v>968</v>
      </c>
      <c r="N66" t="s">
        <v>642</v>
      </c>
      <c r="O66">
        <v>39000</v>
      </c>
      <c r="P66" t="s">
        <v>752</v>
      </c>
      <c r="Q66" t="s">
        <v>749</v>
      </c>
      <c r="R66">
        <v>30</v>
      </c>
    </row>
    <row r="67" spans="1:18" x14ac:dyDescent="0.3">
      <c r="A67" t="s">
        <v>969</v>
      </c>
      <c r="B67" t="s">
        <v>0</v>
      </c>
      <c r="C67">
        <v>45.56</v>
      </c>
      <c r="D67" t="s">
        <v>182</v>
      </c>
      <c r="E67" t="s">
        <v>29</v>
      </c>
      <c r="F67" t="s">
        <v>589</v>
      </c>
      <c r="G67" t="s">
        <v>12</v>
      </c>
      <c r="H67" t="s">
        <v>1204</v>
      </c>
      <c r="I67" t="s">
        <v>1185</v>
      </c>
      <c r="J67">
        <v>3</v>
      </c>
      <c r="K67">
        <v>2</v>
      </c>
      <c r="L67">
        <v>2</v>
      </c>
      <c r="M67" t="s">
        <v>589</v>
      </c>
      <c r="N67" t="s">
        <v>1173</v>
      </c>
      <c r="O67">
        <v>22000</v>
      </c>
      <c r="P67" t="s">
        <v>1172</v>
      </c>
      <c r="Q67" t="s">
        <v>749</v>
      </c>
      <c r="R67">
        <v>20</v>
      </c>
    </row>
    <row r="68" spans="1:18" x14ac:dyDescent="0.3">
      <c r="A68" t="s">
        <v>970</v>
      </c>
      <c r="B68" t="s">
        <v>0</v>
      </c>
      <c r="C68">
        <v>22.42</v>
      </c>
      <c r="D68" t="s">
        <v>971</v>
      </c>
      <c r="E68" t="s">
        <v>30</v>
      </c>
      <c r="F68" t="s">
        <v>438</v>
      </c>
      <c r="G68" t="s">
        <v>12</v>
      </c>
      <c r="H68" t="s">
        <v>1178</v>
      </c>
      <c r="I68" t="s">
        <v>1196</v>
      </c>
      <c r="J68">
        <v>1</v>
      </c>
      <c r="K68">
        <v>1</v>
      </c>
      <c r="L68">
        <v>1</v>
      </c>
      <c r="M68" t="s">
        <v>438</v>
      </c>
      <c r="N68" t="s">
        <v>1173</v>
      </c>
      <c r="O68">
        <v>22000</v>
      </c>
      <c r="P68" t="s">
        <v>1172</v>
      </c>
      <c r="Q68" t="s">
        <v>751</v>
      </c>
      <c r="R68">
        <v>30</v>
      </c>
    </row>
    <row r="69" spans="1:18" x14ac:dyDescent="0.3">
      <c r="A69" t="s">
        <v>972</v>
      </c>
      <c r="B69" t="s">
        <v>0</v>
      </c>
      <c r="C69">
        <v>38.340000000000003</v>
      </c>
      <c r="D69" t="s">
        <v>437</v>
      </c>
      <c r="E69" t="s">
        <v>35</v>
      </c>
      <c r="F69" t="s">
        <v>569</v>
      </c>
      <c r="G69" t="s">
        <v>50</v>
      </c>
      <c r="H69" t="s">
        <v>1189</v>
      </c>
      <c r="I69" t="s">
        <v>1212</v>
      </c>
      <c r="J69">
        <v>2</v>
      </c>
      <c r="K69">
        <v>2</v>
      </c>
      <c r="L69">
        <v>1</v>
      </c>
      <c r="M69" t="s">
        <v>569</v>
      </c>
      <c r="N69" t="s">
        <v>1173</v>
      </c>
      <c r="O69">
        <v>27000</v>
      </c>
      <c r="P69" t="s">
        <v>1172</v>
      </c>
      <c r="Q69" t="s">
        <v>749</v>
      </c>
      <c r="R69">
        <v>30</v>
      </c>
    </row>
    <row r="70" spans="1:18" x14ac:dyDescent="0.3">
      <c r="A70" t="s">
        <v>382</v>
      </c>
      <c r="B70" t="s">
        <v>0</v>
      </c>
      <c r="C70">
        <v>24.28</v>
      </c>
      <c r="D70" t="s">
        <v>70</v>
      </c>
      <c r="E70" t="s">
        <v>72</v>
      </c>
      <c r="F70" t="s">
        <v>383</v>
      </c>
      <c r="G70" t="s">
        <v>198</v>
      </c>
      <c r="H70" t="s">
        <v>1178</v>
      </c>
      <c r="I70" t="s">
        <v>1183</v>
      </c>
      <c r="J70">
        <v>2</v>
      </c>
      <c r="K70">
        <v>1</v>
      </c>
      <c r="L70">
        <v>1</v>
      </c>
      <c r="M70" t="s">
        <v>383</v>
      </c>
      <c r="N70" t="s">
        <v>1173</v>
      </c>
      <c r="O70">
        <v>21000</v>
      </c>
      <c r="P70" t="s">
        <v>1172</v>
      </c>
      <c r="Q70" t="s">
        <v>751</v>
      </c>
      <c r="R70">
        <v>20</v>
      </c>
    </row>
    <row r="71" spans="1:18" x14ac:dyDescent="0.3">
      <c r="A71" t="s">
        <v>973</v>
      </c>
      <c r="B71" t="s">
        <v>0</v>
      </c>
      <c r="C71">
        <v>42.9</v>
      </c>
      <c r="D71" t="s">
        <v>413</v>
      </c>
      <c r="E71" t="s">
        <v>29</v>
      </c>
      <c r="F71" t="s">
        <v>526</v>
      </c>
      <c r="G71" t="s">
        <v>273</v>
      </c>
      <c r="H71" t="s">
        <v>1210</v>
      </c>
      <c r="I71" t="s">
        <v>1184</v>
      </c>
      <c r="J71">
        <v>3</v>
      </c>
      <c r="K71">
        <v>2</v>
      </c>
      <c r="L71">
        <v>2</v>
      </c>
      <c r="M71" t="s">
        <v>526</v>
      </c>
      <c r="N71" t="s">
        <v>639</v>
      </c>
      <c r="O71">
        <v>26000</v>
      </c>
      <c r="P71" t="s">
        <v>752</v>
      </c>
      <c r="Q71" t="s">
        <v>749</v>
      </c>
      <c r="R71">
        <v>30</v>
      </c>
    </row>
    <row r="72" spans="1:18" x14ac:dyDescent="0.3">
      <c r="A72" t="s">
        <v>974</v>
      </c>
      <c r="B72" t="s">
        <v>0</v>
      </c>
      <c r="C72">
        <v>12.1</v>
      </c>
      <c r="D72" t="s">
        <v>268</v>
      </c>
      <c r="E72" t="s">
        <v>30</v>
      </c>
      <c r="F72" t="s">
        <v>975</v>
      </c>
      <c r="G72" t="s">
        <v>185</v>
      </c>
      <c r="H72" t="s">
        <v>1188</v>
      </c>
      <c r="I72" t="s">
        <v>1188</v>
      </c>
      <c r="J72">
        <v>1</v>
      </c>
      <c r="K72">
        <v>1</v>
      </c>
      <c r="L72">
        <v>1</v>
      </c>
      <c r="M72" t="s">
        <v>975</v>
      </c>
      <c r="N72" t="s">
        <v>753</v>
      </c>
      <c r="O72">
        <v>20000</v>
      </c>
      <c r="P72" t="s">
        <v>752</v>
      </c>
      <c r="Q72" t="s">
        <v>750</v>
      </c>
      <c r="R72">
        <v>10</v>
      </c>
    </row>
    <row r="73" spans="1:18" x14ac:dyDescent="0.3">
      <c r="A73" t="s">
        <v>976</v>
      </c>
      <c r="B73" t="s">
        <v>0</v>
      </c>
      <c r="C73">
        <v>21.75</v>
      </c>
      <c r="D73" t="s">
        <v>252</v>
      </c>
      <c r="E73" t="s">
        <v>90</v>
      </c>
      <c r="F73" t="s">
        <v>977</v>
      </c>
      <c r="G73" t="s">
        <v>9</v>
      </c>
      <c r="H73" t="s">
        <v>1181</v>
      </c>
      <c r="I73" t="s">
        <v>1183</v>
      </c>
      <c r="J73">
        <v>2</v>
      </c>
      <c r="K73">
        <v>1</v>
      </c>
      <c r="L73">
        <v>1</v>
      </c>
      <c r="M73" t="s">
        <v>977</v>
      </c>
      <c r="N73" t="s">
        <v>753</v>
      </c>
      <c r="O73">
        <v>37800</v>
      </c>
      <c r="P73" t="s">
        <v>752</v>
      </c>
      <c r="Q73" t="s">
        <v>751</v>
      </c>
      <c r="R73">
        <v>20</v>
      </c>
    </row>
    <row r="74" spans="1:18" x14ac:dyDescent="0.3">
      <c r="A74" t="s">
        <v>978</v>
      </c>
      <c r="B74" t="s">
        <v>0</v>
      </c>
      <c r="C74">
        <v>34.340000000000003</v>
      </c>
      <c r="D74" t="s">
        <v>979</v>
      </c>
      <c r="E74" t="s">
        <v>35</v>
      </c>
      <c r="F74" t="s">
        <v>353</v>
      </c>
      <c r="G74" t="s">
        <v>54</v>
      </c>
      <c r="H74" t="s">
        <v>1190</v>
      </c>
      <c r="I74" t="s">
        <v>1210</v>
      </c>
      <c r="J74">
        <v>2</v>
      </c>
      <c r="K74">
        <v>2</v>
      </c>
      <c r="L74">
        <v>1</v>
      </c>
      <c r="M74" t="s">
        <v>353</v>
      </c>
      <c r="N74" t="s">
        <v>1173</v>
      </c>
      <c r="O74">
        <v>28000</v>
      </c>
      <c r="P74" t="s">
        <v>1172</v>
      </c>
      <c r="Q74" t="s">
        <v>749</v>
      </c>
      <c r="R74">
        <v>20</v>
      </c>
    </row>
    <row r="75" spans="1:18" x14ac:dyDescent="0.3">
      <c r="A75" t="s">
        <v>980</v>
      </c>
      <c r="B75" t="s">
        <v>0</v>
      </c>
      <c r="C75">
        <v>47.05</v>
      </c>
      <c r="D75" t="s">
        <v>278</v>
      </c>
      <c r="E75" t="s">
        <v>29</v>
      </c>
      <c r="F75" t="s">
        <v>351</v>
      </c>
      <c r="G75" t="s">
        <v>158</v>
      </c>
      <c r="H75" t="s">
        <v>1182</v>
      </c>
      <c r="I75" t="s">
        <v>1196</v>
      </c>
      <c r="J75">
        <v>3</v>
      </c>
      <c r="K75">
        <v>2</v>
      </c>
      <c r="L75">
        <v>2</v>
      </c>
      <c r="M75" t="s">
        <v>351</v>
      </c>
      <c r="N75" t="s">
        <v>1173</v>
      </c>
      <c r="O75">
        <v>42000</v>
      </c>
      <c r="P75" t="s">
        <v>1172</v>
      </c>
      <c r="Q75" t="s">
        <v>749</v>
      </c>
      <c r="R75">
        <v>30</v>
      </c>
    </row>
    <row r="76" spans="1:18" x14ac:dyDescent="0.3">
      <c r="A76" t="s">
        <v>981</v>
      </c>
      <c r="B76" t="s">
        <v>0</v>
      </c>
      <c r="C76">
        <v>38.229999999999997</v>
      </c>
      <c r="D76" t="s">
        <v>108</v>
      </c>
      <c r="E76" t="s">
        <v>29</v>
      </c>
      <c r="F76" t="s">
        <v>694</v>
      </c>
      <c r="G76" t="s">
        <v>14</v>
      </c>
      <c r="H76" t="s">
        <v>1188</v>
      </c>
      <c r="I76" t="s">
        <v>1187</v>
      </c>
      <c r="J76">
        <v>3</v>
      </c>
      <c r="K76">
        <v>2</v>
      </c>
      <c r="L76">
        <v>2</v>
      </c>
      <c r="M76" t="s">
        <v>694</v>
      </c>
      <c r="N76" t="s">
        <v>753</v>
      </c>
      <c r="O76">
        <v>40000</v>
      </c>
      <c r="P76" t="s">
        <v>752</v>
      </c>
      <c r="Q76" t="s">
        <v>749</v>
      </c>
      <c r="R76">
        <v>10</v>
      </c>
    </row>
    <row r="77" spans="1:18" x14ac:dyDescent="0.3">
      <c r="A77" t="s">
        <v>982</v>
      </c>
      <c r="B77" t="s">
        <v>0</v>
      </c>
      <c r="C77">
        <v>26.58</v>
      </c>
      <c r="D77" t="s">
        <v>53</v>
      </c>
      <c r="E77" t="s">
        <v>29</v>
      </c>
      <c r="F77" t="s">
        <v>377</v>
      </c>
      <c r="G77" t="s">
        <v>12</v>
      </c>
      <c r="H77" t="s">
        <v>1188</v>
      </c>
      <c r="I77" t="s">
        <v>1181</v>
      </c>
      <c r="J77">
        <v>3</v>
      </c>
      <c r="K77">
        <v>2</v>
      </c>
      <c r="L77">
        <v>2</v>
      </c>
      <c r="M77" t="s">
        <v>377</v>
      </c>
      <c r="N77" t="s">
        <v>1173</v>
      </c>
      <c r="O77">
        <v>22000</v>
      </c>
      <c r="P77" t="s">
        <v>1172</v>
      </c>
      <c r="Q77" t="s">
        <v>751</v>
      </c>
      <c r="R77">
        <v>10</v>
      </c>
    </row>
    <row r="78" spans="1:18" x14ac:dyDescent="0.3">
      <c r="A78" t="s">
        <v>983</v>
      </c>
      <c r="B78" t="s">
        <v>0</v>
      </c>
      <c r="C78">
        <v>38.39</v>
      </c>
      <c r="D78" t="s">
        <v>135</v>
      </c>
      <c r="E78" t="s">
        <v>606</v>
      </c>
      <c r="F78" t="s">
        <v>470</v>
      </c>
      <c r="G78" t="s">
        <v>168</v>
      </c>
      <c r="H78" t="s">
        <v>1180</v>
      </c>
      <c r="I78" t="s">
        <v>1188</v>
      </c>
      <c r="J78">
        <v>5</v>
      </c>
      <c r="K78">
        <v>2</v>
      </c>
      <c r="L78">
        <v>2</v>
      </c>
      <c r="M78" t="s">
        <v>470</v>
      </c>
      <c r="N78" t="s">
        <v>1173</v>
      </c>
      <c r="O78">
        <v>33000</v>
      </c>
      <c r="P78" t="s">
        <v>1172</v>
      </c>
      <c r="Q78" t="s">
        <v>749</v>
      </c>
      <c r="R78">
        <v>10</v>
      </c>
    </row>
    <row r="79" spans="1:18" x14ac:dyDescent="0.3">
      <c r="A79" t="s">
        <v>984</v>
      </c>
      <c r="B79" t="s">
        <v>0</v>
      </c>
      <c r="C79">
        <v>33.89</v>
      </c>
      <c r="D79" t="s">
        <v>37</v>
      </c>
      <c r="E79" t="s">
        <v>985</v>
      </c>
      <c r="F79" t="s">
        <v>986</v>
      </c>
      <c r="G79" t="s">
        <v>516</v>
      </c>
      <c r="H79" t="s">
        <v>1181</v>
      </c>
      <c r="I79" t="s">
        <v>1181</v>
      </c>
      <c r="J79">
        <v>4</v>
      </c>
      <c r="K79">
        <v>2</v>
      </c>
      <c r="L79">
        <v>2</v>
      </c>
      <c r="M79" t="s">
        <v>986</v>
      </c>
      <c r="N79" t="s">
        <v>1173</v>
      </c>
      <c r="O79">
        <v>25800</v>
      </c>
      <c r="P79" t="s">
        <v>1172</v>
      </c>
      <c r="Q79" t="s">
        <v>749</v>
      </c>
      <c r="R79">
        <v>10</v>
      </c>
    </row>
    <row r="80" spans="1:18" x14ac:dyDescent="0.3">
      <c r="A80" t="s">
        <v>987</v>
      </c>
      <c r="B80" t="s">
        <v>0</v>
      </c>
      <c r="C80">
        <v>32.5</v>
      </c>
      <c r="D80" t="s">
        <v>88</v>
      </c>
      <c r="E80" t="s">
        <v>606</v>
      </c>
      <c r="F80" t="s">
        <v>573</v>
      </c>
      <c r="G80" t="s">
        <v>115</v>
      </c>
      <c r="H80" t="s">
        <v>1204</v>
      </c>
      <c r="I80" t="s">
        <v>1178</v>
      </c>
      <c r="J80">
        <v>5</v>
      </c>
      <c r="K80">
        <v>2</v>
      </c>
      <c r="L80">
        <v>2</v>
      </c>
      <c r="M80" t="s">
        <v>573</v>
      </c>
      <c r="N80" t="s">
        <v>1173</v>
      </c>
      <c r="O80">
        <v>30000</v>
      </c>
      <c r="P80" t="s">
        <v>1172</v>
      </c>
      <c r="Q80" t="s">
        <v>749</v>
      </c>
      <c r="R80">
        <v>20</v>
      </c>
    </row>
    <row r="81" spans="1:18" x14ac:dyDescent="0.3">
      <c r="A81" t="s">
        <v>988</v>
      </c>
      <c r="B81" t="s">
        <v>0</v>
      </c>
      <c r="C81">
        <v>48.14</v>
      </c>
      <c r="D81" t="s">
        <v>117</v>
      </c>
      <c r="E81" t="s">
        <v>40</v>
      </c>
      <c r="F81" t="s">
        <v>989</v>
      </c>
      <c r="G81" t="s">
        <v>116</v>
      </c>
      <c r="H81" t="s">
        <v>1198</v>
      </c>
      <c r="I81" t="s">
        <v>1193</v>
      </c>
      <c r="J81">
        <v>4</v>
      </c>
      <c r="K81">
        <v>2</v>
      </c>
      <c r="L81">
        <v>2</v>
      </c>
      <c r="M81" t="s">
        <v>989</v>
      </c>
      <c r="N81" t="s">
        <v>1173</v>
      </c>
      <c r="O81">
        <v>23000</v>
      </c>
      <c r="P81" t="s">
        <v>1172</v>
      </c>
      <c r="Q81" t="s">
        <v>749</v>
      </c>
      <c r="R81">
        <v>10</v>
      </c>
    </row>
    <row r="82" spans="1:18" x14ac:dyDescent="0.3">
      <c r="A82" t="s">
        <v>990</v>
      </c>
      <c r="B82" t="s">
        <v>0</v>
      </c>
      <c r="C82">
        <v>55.43</v>
      </c>
      <c r="D82" t="s">
        <v>235</v>
      </c>
      <c r="E82" t="s">
        <v>29</v>
      </c>
      <c r="F82" t="s">
        <v>991</v>
      </c>
      <c r="G82" t="s">
        <v>112</v>
      </c>
      <c r="H82" t="s">
        <v>1188</v>
      </c>
      <c r="I82" t="s">
        <v>1179</v>
      </c>
      <c r="J82">
        <v>3</v>
      </c>
      <c r="K82">
        <v>2</v>
      </c>
      <c r="L82">
        <v>2</v>
      </c>
      <c r="M82" t="s">
        <v>1213</v>
      </c>
      <c r="N82" t="s">
        <v>1173</v>
      </c>
      <c r="O82">
        <v>35000</v>
      </c>
      <c r="P82" t="s">
        <v>1172</v>
      </c>
      <c r="Q82" t="s">
        <v>749</v>
      </c>
      <c r="R82">
        <v>20</v>
      </c>
    </row>
    <row r="83" spans="1:18" x14ac:dyDescent="0.3">
      <c r="A83" t="s">
        <v>566</v>
      </c>
      <c r="B83" t="s">
        <v>0</v>
      </c>
      <c r="C83">
        <v>33.270000000000003</v>
      </c>
      <c r="D83" t="s">
        <v>280</v>
      </c>
      <c r="E83" t="s">
        <v>35</v>
      </c>
      <c r="F83" t="s">
        <v>567</v>
      </c>
      <c r="G83" t="s">
        <v>54</v>
      </c>
      <c r="H83" t="s">
        <v>1179</v>
      </c>
      <c r="I83" t="s">
        <v>1179</v>
      </c>
      <c r="J83">
        <v>2</v>
      </c>
      <c r="K83">
        <v>2</v>
      </c>
      <c r="L83">
        <v>1</v>
      </c>
      <c r="M83" t="s">
        <v>567</v>
      </c>
      <c r="N83" t="s">
        <v>640</v>
      </c>
      <c r="O83">
        <v>28000</v>
      </c>
      <c r="P83" t="s">
        <v>1175</v>
      </c>
      <c r="Q83" t="s">
        <v>749</v>
      </c>
      <c r="R83">
        <v>20</v>
      </c>
    </row>
    <row r="84" spans="1:18" x14ac:dyDescent="0.3">
      <c r="A84" t="s">
        <v>992</v>
      </c>
      <c r="B84" t="s">
        <v>0</v>
      </c>
      <c r="C84">
        <v>44.74</v>
      </c>
      <c r="D84" t="s">
        <v>139</v>
      </c>
      <c r="E84" t="s">
        <v>27</v>
      </c>
      <c r="F84" t="s">
        <v>993</v>
      </c>
      <c r="G84" t="s">
        <v>181</v>
      </c>
      <c r="H84" t="s">
        <v>1187</v>
      </c>
      <c r="I84" t="s">
        <v>1179</v>
      </c>
      <c r="J84">
        <v>2</v>
      </c>
      <c r="K84">
        <v>2</v>
      </c>
      <c r="L84">
        <v>2</v>
      </c>
      <c r="M84" t="s">
        <v>993</v>
      </c>
      <c r="N84" t="s">
        <v>640</v>
      </c>
      <c r="O84">
        <v>29000</v>
      </c>
      <c r="P84" t="s">
        <v>1175</v>
      </c>
      <c r="Q84" t="s">
        <v>749</v>
      </c>
      <c r="R84">
        <v>20</v>
      </c>
    </row>
    <row r="85" spans="1:18" x14ac:dyDescent="0.3">
      <c r="A85" t="s">
        <v>994</v>
      </c>
      <c r="B85" t="s">
        <v>0</v>
      </c>
      <c r="C85">
        <v>23</v>
      </c>
      <c r="D85" t="s">
        <v>39</v>
      </c>
      <c r="E85" t="s">
        <v>35</v>
      </c>
      <c r="F85" t="s">
        <v>995</v>
      </c>
      <c r="G85" t="s">
        <v>12</v>
      </c>
      <c r="H85" t="s">
        <v>1187</v>
      </c>
      <c r="I85" t="s">
        <v>1187</v>
      </c>
      <c r="J85">
        <v>2</v>
      </c>
      <c r="K85">
        <v>2</v>
      </c>
      <c r="L85">
        <v>1</v>
      </c>
      <c r="M85" t="s">
        <v>995</v>
      </c>
      <c r="N85" t="s">
        <v>753</v>
      </c>
      <c r="O85">
        <v>22000</v>
      </c>
      <c r="P85" t="s">
        <v>752</v>
      </c>
      <c r="Q85" t="s">
        <v>751</v>
      </c>
      <c r="R85">
        <v>10</v>
      </c>
    </row>
    <row r="86" spans="1:18" x14ac:dyDescent="0.3">
      <c r="A86" t="s">
        <v>996</v>
      </c>
      <c r="B86" t="s">
        <v>0</v>
      </c>
      <c r="C86">
        <v>41.06</v>
      </c>
      <c r="D86" t="s">
        <v>79</v>
      </c>
      <c r="E86" t="s">
        <v>35</v>
      </c>
      <c r="F86" t="s">
        <v>422</v>
      </c>
      <c r="G86" t="s">
        <v>54</v>
      </c>
      <c r="H86" t="s">
        <v>1204</v>
      </c>
      <c r="I86" t="s">
        <v>1183</v>
      </c>
      <c r="J86">
        <v>2</v>
      </c>
      <c r="K86">
        <v>2</v>
      </c>
      <c r="L86">
        <v>1</v>
      </c>
      <c r="M86" t="s">
        <v>422</v>
      </c>
      <c r="N86" t="s">
        <v>639</v>
      </c>
      <c r="O86">
        <v>28000</v>
      </c>
      <c r="P86" t="s">
        <v>752</v>
      </c>
      <c r="Q86" t="s">
        <v>749</v>
      </c>
      <c r="R86">
        <v>20</v>
      </c>
    </row>
    <row r="87" spans="1:18" x14ac:dyDescent="0.3">
      <c r="A87" t="s">
        <v>562</v>
      </c>
      <c r="B87" t="s">
        <v>0</v>
      </c>
      <c r="C87">
        <v>49.71</v>
      </c>
      <c r="D87" t="s">
        <v>398</v>
      </c>
      <c r="E87" t="s">
        <v>27</v>
      </c>
      <c r="F87" t="s">
        <v>465</v>
      </c>
      <c r="G87" t="s">
        <v>168</v>
      </c>
      <c r="H87" t="s">
        <v>1193</v>
      </c>
      <c r="I87" t="s">
        <v>1186</v>
      </c>
      <c r="J87">
        <v>2</v>
      </c>
      <c r="K87">
        <v>2</v>
      </c>
      <c r="L87">
        <v>2</v>
      </c>
      <c r="M87" t="s">
        <v>465</v>
      </c>
      <c r="N87" t="s">
        <v>1176</v>
      </c>
      <c r="O87">
        <v>33000</v>
      </c>
      <c r="P87" t="s">
        <v>1175</v>
      </c>
      <c r="Q87" t="s">
        <v>749</v>
      </c>
      <c r="R87">
        <v>30</v>
      </c>
    </row>
    <row r="88" spans="1:18" x14ac:dyDescent="0.3">
      <c r="A88" t="s">
        <v>997</v>
      </c>
      <c r="B88" t="s">
        <v>0</v>
      </c>
      <c r="C88">
        <v>20.87</v>
      </c>
      <c r="D88" t="s">
        <v>108</v>
      </c>
      <c r="E88" t="s">
        <v>95</v>
      </c>
      <c r="F88" t="s">
        <v>998</v>
      </c>
      <c r="G88" t="s">
        <v>104</v>
      </c>
      <c r="H88" t="s">
        <v>1188</v>
      </c>
      <c r="I88" t="s">
        <v>1187</v>
      </c>
      <c r="J88">
        <v>3</v>
      </c>
      <c r="K88">
        <v>2</v>
      </c>
      <c r="L88">
        <v>1</v>
      </c>
      <c r="M88" t="s">
        <v>998</v>
      </c>
      <c r="N88" t="s">
        <v>642</v>
      </c>
      <c r="O88">
        <v>18000</v>
      </c>
      <c r="P88" t="s">
        <v>752</v>
      </c>
      <c r="Q88" t="s">
        <v>751</v>
      </c>
      <c r="R88">
        <v>10</v>
      </c>
    </row>
    <row r="89" spans="1:18" x14ac:dyDescent="0.3">
      <c r="A89" t="s">
        <v>999</v>
      </c>
      <c r="B89" t="s">
        <v>0</v>
      </c>
      <c r="C89">
        <v>55.58</v>
      </c>
      <c r="D89" t="s">
        <v>139</v>
      </c>
      <c r="E89" t="s">
        <v>29</v>
      </c>
      <c r="F89" t="s">
        <v>1000</v>
      </c>
      <c r="G89" t="s">
        <v>54</v>
      </c>
      <c r="H89" t="s">
        <v>1187</v>
      </c>
      <c r="I89" t="s">
        <v>1179</v>
      </c>
      <c r="J89">
        <v>3</v>
      </c>
      <c r="K89">
        <v>2</v>
      </c>
      <c r="L89">
        <v>2</v>
      </c>
      <c r="M89" t="s">
        <v>1000</v>
      </c>
      <c r="N89" t="s">
        <v>640</v>
      </c>
      <c r="O89">
        <v>28000</v>
      </c>
      <c r="P89" t="s">
        <v>1175</v>
      </c>
      <c r="Q89" t="s">
        <v>749</v>
      </c>
      <c r="R89">
        <v>20</v>
      </c>
    </row>
    <row r="90" spans="1:18" x14ac:dyDescent="0.3">
      <c r="A90" t="s">
        <v>1001</v>
      </c>
      <c r="B90" t="s">
        <v>0</v>
      </c>
      <c r="C90">
        <v>41.43</v>
      </c>
      <c r="D90" t="s">
        <v>292</v>
      </c>
      <c r="E90" t="s">
        <v>125</v>
      </c>
      <c r="F90" t="s">
        <v>1002</v>
      </c>
      <c r="G90" t="s">
        <v>89</v>
      </c>
      <c r="H90" t="s">
        <v>1180</v>
      </c>
      <c r="I90" t="s">
        <v>1183</v>
      </c>
      <c r="J90">
        <v>1</v>
      </c>
      <c r="K90">
        <v>2</v>
      </c>
      <c r="L90">
        <v>2</v>
      </c>
      <c r="M90" t="s">
        <v>1214</v>
      </c>
      <c r="N90" t="s">
        <v>1173</v>
      </c>
      <c r="O90">
        <v>38000</v>
      </c>
      <c r="P90" t="s">
        <v>1172</v>
      </c>
      <c r="Q90" t="s">
        <v>749</v>
      </c>
      <c r="R90">
        <v>20</v>
      </c>
    </row>
    <row r="91" spans="1:18" x14ac:dyDescent="0.3">
      <c r="A91" t="s">
        <v>1003</v>
      </c>
      <c r="B91" t="s">
        <v>0</v>
      </c>
      <c r="C91">
        <v>34.5</v>
      </c>
      <c r="D91" t="s">
        <v>31</v>
      </c>
      <c r="E91" t="s">
        <v>27</v>
      </c>
      <c r="F91" t="s">
        <v>1004</v>
      </c>
      <c r="G91" t="s">
        <v>116</v>
      </c>
      <c r="H91" t="s">
        <v>1178</v>
      </c>
      <c r="I91" t="s">
        <v>1178</v>
      </c>
      <c r="J91">
        <v>2</v>
      </c>
      <c r="K91">
        <v>2</v>
      </c>
      <c r="L91">
        <v>2</v>
      </c>
      <c r="M91" t="s">
        <v>1004</v>
      </c>
      <c r="N91" t="s">
        <v>639</v>
      </c>
      <c r="O91">
        <v>23000</v>
      </c>
      <c r="P91" t="s">
        <v>752</v>
      </c>
      <c r="Q91" t="s">
        <v>749</v>
      </c>
      <c r="R91">
        <v>20</v>
      </c>
    </row>
    <row r="92" spans="1:18" x14ac:dyDescent="0.3">
      <c r="A92" t="s">
        <v>1005</v>
      </c>
      <c r="B92" t="s">
        <v>0</v>
      </c>
      <c r="C92">
        <v>35.51</v>
      </c>
      <c r="D92" t="s">
        <v>430</v>
      </c>
      <c r="E92" t="s">
        <v>35</v>
      </c>
      <c r="F92" t="s">
        <v>429</v>
      </c>
      <c r="G92" t="s">
        <v>421</v>
      </c>
      <c r="H92" t="s">
        <v>1199</v>
      </c>
      <c r="I92" t="s">
        <v>1199</v>
      </c>
      <c r="J92">
        <v>2</v>
      </c>
      <c r="K92">
        <v>2</v>
      </c>
      <c r="L92">
        <v>1</v>
      </c>
      <c r="M92" t="s">
        <v>429</v>
      </c>
      <c r="N92" t="s">
        <v>1176</v>
      </c>
      <c r="O92">
        <v>22500</v>
      </c>
      <c r="P92" t="s">
        <v>1175</v>
      </c>
      <c r="Q92" t="s">
        <v>749</v>
      </c>
      <c r="R92">
        <v>20</v>
      </c>
    </row>
    <row r="93" spans="1:18" x14ac:dyDescent="0.3">
      <c r="A93" t="s">
        <v>1006</v>
      </c>
      <c r="B93" t="s">
        <v>0</v>
      </c>
      <c r="C93">
        <v>41.55</v>
      </c>
      <c r="D93" t="s">
        <v>233</v>
      </c>
      <c r="E93" t="s">
        <v>35</v>
      </c>
      <c r="F93" t="s">
        <v>24</v>
      </c>
      <c r="G93" t="s">
        <v>60</v>
      </c>
      <c r="H93" t="s">
        <v>1204</v>
      </c>
      <c r="I93" t="s">
        <v>1179</v>
      </c>
      <c r="J93">
        <v>2</v>
      </c>
      <c r="K93">
        <v>2</v>
      </c>
      <c r="L93">
        <v>1</v>
      </c>
      <c r="M93" t="s">
        <v>24</v>
      </c>
      <c r="N93" t="s">
        <v>753</v>
      </c>
      <c r="O93">
        <v>48000</v>
      </c>
      <c r="P93" t="s">
        <v>752</v>
      </c>
      <c r="Q93" t="s">
        <v>749</v>
      </c>
      <c r="R93">
        <v>20</v>
      </c>
    </row>
    <row r="94" spans="1:18" x14ac:dyDescent="0.3">
      <c r="A94" t="s">
        <v>1007</v>
      </c>
      <c r="B94" t="s">
        <v>0</v>
      </c>
      <c r="C94">
        <v>32.53</v>
      </c>
      <c r="D94" t="s">
        <v>1008</v>
      </c>
      <c r="E94" t="s">
        <v>72</v>
      </c>
      <c r="F94" t="s">
        <v>1009</v>
      </c>
      <c r="G94" t="s">
        <v>185</v>
      </c>
      <c r="H94" t="s">
        <v>1195</v>
      </c>
      <c r="I94" t="s">
        <v>1195</v>
      </c>
      <c r="J94">
        <v>2</v>
      </c>
      <c r="K94">
        <v>1</v>
      </c>
      <c r="L94">
        <v>1</v>
      </c>
      <c r="M94" t="s">
        <v>1009</v>
      </c>
      <c r="N94" t="s">
        <v>640</v>
      </c>
      <c r="O94">
        <v>20000</v>
      </c>
      <c r="P94" t="s">
        <v>1175</v>
      </c>
      <c r="Q94" t="s">
        <v>749</v>
      </c>
      <c r="R94">
        <v>30</v>
      </c>
    </row>
    <row r="95" spans="1:18" x14ac:dyDescent="0.3">
      <c r="A95" t="s">
        <v>1010</v>
      </c>
      <c r="B95" t="s">
        <v>0</v>
      </c>
      <c r="C95">
        <v>14.96</v>
      </c>
      <c r="D95" t="s">
        <v>196</v>
      </c>
      <c r="E95" t="s">
        <v>171</v>
      </c>
      <c r="F95" t="s">
        <v>1011</v>
      </c>
      <c r="G95" t="s">
        <v>15</v>
      </c>
      <c r="H95" t="s">
        <v>1204</v>
      </c>
      <c r="I95" t="s">
        <v>1205</v>
      </c>
      <c r="J95">
        <v>1</v>
      </c>
      <c r="K95">
        <v>1</v>
      </c>
      <c r="L95">
        <v>1</v>
      </c>
      <c r="M95" t="s">
        <v>1011</v>
      </c>
      <c r="N95" t="s">
        <v>753</v>
      </c>
      <c r="O95">
        <v>32000</v>
      </c>
      <c r="P95" t="s">
        <v>752</v>
      </c>
      <c r="Q95" t="s">
        <v>750</v>
      </c>
      <c r="R95">
        <v>10</v>
      </c>
    </row>
    <row r="96" spans="1:18" x14ac:dyDescent="0.3">
      <c r="A96" t="s">
        <v>560</v>
      </c>
      <c r="B96" t="s">
        <v>0</v>
      </c>
      <c r="C96">
        <v>28.76</v>
      </c>
      <c r="D96" t="s">
        <v>55</v>
      </c>
      <c r="E96" t="s">
        <v>35</v>
      </c>
      <c r="F96" t="s">
        <v>561</v>
      </c>
      <c r="G96" t="s">
        <v>136</v>
      </c>
      <c r="H96" t="s">
        <v>1182</v>
      </c>
      <c r="I96" t="s">
        <v>1179</v>
      </c>
      <c r="J96">
        <v>2</v>
      </c>
      <c r="K96">
        <v>2</v>
      </c>
      <c r="L96">
        <v>1</v>
      </c>
      <c r="M96" t="s">
        <v>561</v>
      </c>
      <c r="N96" t="s">
        <v>640</v>
      </c>
      <c r="O96">
        <v>19000</v>
      </c>
      <c r="P96" t="s">
        <v>1175</v>
      </c>
      <c r="Q96" t="s">
        <v>751</v>
      </c>
      <c r="R96">
        <v>20</v>
      </c>
    </row>
    <row r="97" spans="1:18" x14ac:dyDescent="0.3">
      <c r="A97" t="s">
        <v>1012</v>
      </c>
      <c r="B97" t="s">
        <v>0</v>
      </c>
      <c r="C97">
        <v>23.6</v>
      </c>
      <c r="D97" t="s">
        <v>39</v>
      </c>
      <c r="E97" t="s">
        <v>72</v>
      </c>
      <c r="F97" t="s">
        <v>1013</v>
      </c>
      <c r="G97" t="s">
        <v>54</v>
      </c>
      <c r="H97" t="s">
        <v>1187</v>
      </c>
      <c r="I97" t="s">
        <v>1187</v>
      </c>
      <c r="J97">
        <v>2</v>
      </c>
      <c r="K97">
        <v>1</v>
      </c>
      <c r="L97">
        <v>1</v>
      </c>
      <c r="M97" t="s">
        <v>1013</v>
      </c>
      <c r="N97" t="s">
        <v>642</v>
      </c>
      <c r="O97">
        <v>28000</v>
      </c>
      <c r="P97" t="s">
        <v>752</v>
      </c>
      <c r="Q97" t="s">
        <v>751</v>
      </c>
      <c r="R97">
        <v>10</v>
      </c>
    </row>
    <row r="98" spans="1:18" x14ac:dyDescent="0.3">
      <c r="A98" t="s">
        <v>1014</v>
      </c>
      <c r="B98" t="s">
        <v>0</v>
      </c>
      <c r="C98">
        <v>27.54</v>
      </c>
      <c r="D98" t="s">
        <v>309</v>
      </c>
      <c r="E98" t="s">
        <v>1015</v>
      </c>
      <c r="F98" t="s">
        <v>1016</v>
      </c>
      <c r="G98" t="s">
        <v>145</v>
      </c>
      <c r="H98" t="s">
        <v>1193</v>
      </c>
      <c r="I98" t="s">
        <v>1194</v>
      </c>
      <c r="J98">
        <v>3</v>
      </c>
      <c r="K98">
        <v>2</v>
      </c>
      <c r="L98">
        <v>2</v>
      </c>
      <c r="M98" t="s">
        <v>1016</v>
      </c>
      <c r="N98" t="s">
        <v>1176</v>
      </c>
      <c r="O98">
        <v>15000</v>
      </c>
      <c r="P98" t="s">
        <v>1175</v>
      </c>
      <c r="Q98" t="s">
        <v>751</v>
      </c>
      <c r="R98">
        <v>20</v>
      </c>
    </row>
    <row r="99" spans="1:18" x14ac:dyDescent="0.3">
      <c r="A99" t="s">
        <v>394</v>
      </c>
      <c r="B99" t="s">
        <v>0</v>
      </c>
      <c r="C99">
        <v>15.59</v>
      </c>
      <c r="D99" t="s">
        <v>387</v>
      </c>
      <c r="E99" t="s">
        <v>30</v>
      </c>
      <c r="F99" t="s">
        <v>395</v>
      </c>
      <c r="G99" t="s">
        <v>145</v>
      </c>
      <c r="H99" t="s">
        <v>1197</v>
      </c>
      <c r="I99" t="s">
        <v>1197</v>
      </c>
      <c r="J99">
        <v>1</v>
      </c>
      <c r="K99">
        <v>1</v>
      </c>
      <c r="L99">
        <v>1</v>
      </c>
      <c r="M99" t="s">
        <v>395</v>
      </c>
      <c r="N99" t="s">
        <v>639</v>
      </c>
      <c r="O99">
        <v>15000</v>
      </c>
      <c r="P99" t="s">
        <v>752</v>
      </c>
      <c r="Q99" t="s">
        <v>751</v>
      </c>
      <c r="R99">
        <v>10</v>
      </c>
    </row>
    <row r="100" spans="1:18" x14ac:dyDescent="0.3">
      <c r="A100" t="s">
        <v>1017</v>
      </c>
      <c r="B100" t="s">
        <v>0</v>
      </c>
      <c r="C100">
        <v>33.840000000000003</v>
      </c>
      <c r="D100" t="s">
        <v>1018</v>
      </c>
      <c r="E100" t="s">
        <v>35</v>
      </c>
      <c r="F100" t="s">
        <v>556</v>
      </c>
      <c r="G100" t="s">
        <v>14</v>
      </c>
      <c r="H100" t="s">
        <v>1210</v>
      </c>
      <c r="I100" t="s">
        <v>1202</v>
      </c>
      <c r="J100">
        <v>2</v>
      </c>
      <c r="K100">
        <v>2</v>
      </c>
      <c r="L100">
        <v>1</v>
      </c>
      <c r="M100" t="s">
        <v>556</v>
      </c>
      <c r="N100" t="s">
        <v>1173</v>
      </c>
      <c r="O100">
        <v>40000</v>
      </c>
      <c r="P100" t="s">
        <v>1172</v>
      </c>
      <c r="Q100" t="s">
        <v>749</v>
      </c>
      <c r="R100">
        <v>40</v>
      </c>
    </row>
    <row r="101" spans="1:18" x14ac:dyDescent="0.3">
      <c r="A101" t="s">
        <v>587</v>
      </c>
      <c r="B101" t="s">
        <v>0</v>
      </c>
      <c r="C101">
        <v>25.98</v>
      </c>
      <c r="D101" t="s">
        <v>53</v>
      </c>
      <c r="E101" t="s">
        <v>30</v>
      </c>
      <c r="F101" t="s">
        <v>483</v>
      </c>
      <c r="G101" t="s">
        <v>136</v>
      </c>
      <c r="H101" t="s">
        <v>1188</v>
      </c>
      <c r="I101" t="s">
        <v>1181</v>
      </c>
      <c r="J101">
        <v>1</v>
      </c>
      <c r="K101">
        <v>1</v>
      </c>
      <c r="L101">
        <v>1</v>
      </c>
      <c r="M101" t="s">
        <v>483</v>
      </c>
      <c r="N101" t="s">
        <v>642</v>
      </c>
      <c r="O101">
        <v>19000</v>
      </c>
      <c r="P101" t="s">
        <v>752</v>
      </c>
      <c r="Q101" t="s">
        <v>751</v>
      </c>
      <c r="R101">
        <v>10</v>
      </c>
    </row>
    <row r="102" spans="1:18" x14ac:dyDescent="0.3">
      <c r="A102" t="s">
        <v>1019</v>
      </c>
      <c r="B102" t="s">
        <v>0</v>
      </c>
      <c r="C102">
        <v>215.67</v>
      </c>
      <c r="D102" t="s">
        <v>248</v>
      </c>
      <c r="E102" t="s">
        <v>1020</v>
      </c>
      <c r="F102" t="s">
        <v>1021</v>
      </c>
      <c r="G102" t="s">
        <v>5</v>
      </c>
      <c r="H102" t="s">
        <v>1183</v>
      </c>
      <c r="I102" t="s">
        <v>1179</v>
      </c>
      <c r="J102">
        <v>6</v>
      </c>
      <c r="K102">
        <v>1</v>
      </c>
      <c r="L102">
        <v>6</v>
      </c>
      <c r="M102" t="s">
        <v>1021</v>
      </c>
      <c r="N102" t="s">
        <v>1173</v>
      </c>
      <c r="O102">
        <v>150000</v>
      </c>
      <c r="P102" t="s">
        <v>1172</v>
      </c>
      <c r="Q102" t="s">
        <v>749</v>
      </c>
      <c r="R102">
        <v>20</v>
      </c>
    </row>
    <row r="103" spans="1:18" x14ac:dyDescent="0.3">
      <c r="A103" t="s">
        <v>1022</v>
      </c>
      <c r="B103" t="s">
        <v>0</v>
      </c>
      <c r="C103">
        <v>55.64</v>
      </c>
      <c r="D103" t="s">
        <v>240</v>
      </c>
      <c r="E103" t="s">
        <v>29</v>
      </c>
      <c r="F103" t="s">
        <v>330</v>
      </c>
      <c r="G103" t="s">
        <v>14</v>
      </c>
      <c r="H103" t="s">
        <v>1198</v>
      </c>
      <c r="I103" t="s">
        <v>1179</v>
      </c>
      <c r="J103">
        <v>3</v>
      </c>
      <c r="K103">
        <v>2</v>
      </c>
      <c r="L103">
        <v>2</v>
      </c>
      <c r="M103" t="s">
        <v>330</v>
      </c>
      <c r="N103" t="s">
        <v>1173</v>
      </c>
      <c r="O103">
        <v>40000</v>
      </c>
      <c r="P103" t="s">
        <v>1172</v>
      </c>
      <c r="Q103" t="s">
        <v>749</v>
      </c>
      <c r="R103">
        <v>20</v>
      </c>
    </row>
    <row r="104" spans="1:18" x14ac:dyDescent="0.3">
      <c r="A104" t="s">
        <v>1023</v>
      </c>
      <c r="B104" t="s">
        <v>0</v>
      </c>
      <c r="C104">
        <v>55.16</v>
      </c>
      <c r="D104" t="s">
        <v>257</v>
      </c>
      <c r="E104" t="s">
        <v>29</v>
      </c>
      <c r="F104" t="s">
        <v>1024</v>
      </c>
      <c r="G104" t="s">
        <v>8</v>
      </c>
      <c r="H104" t="s">
        <v>1181</v>
      </c>
      <c r="I104" t="s">
        <v>1185</v>
      </c>
      <c r="J104">
        <v>3</v>
      </c>
      <c r="K104">
        <v>2</v>
      </c>
      <c r="L104">
        <v>2</v>
      </c>
      <c r="M104" t="s">
        <v>1024</v>
      </c>
      <c r="N104" t="s">
        <v>644</v>
      </c>
      <c r="O104">
        <v>31000</v>
      </c>
      <c r="P104" t="s">
        <v>752</v>
      </c>
      <c r="Q104" t="s">
        <v>749</v>
      </c>
      <c r="R104">
        <v>20</v>
      </c>
    </row>
    <row r="105" spans="1:18" x14ac:dyDescent="0.3">
      <c r="A105" t="s">
        <v>1025</v>
      </c>
      <c r="B105" t="s">
        <v>0</v>
      </c>
      <c r="C105">
        <v>17.11</v>
      </c>
      <c r="D105" t="s">
        <v>250</v>
      </c>
      <c r="E105" t="s">
        <v>35</v>
      </c>
      <c r="F105" t="s">
        <v>555</v>
      </c>
      <c r="G105" t="s">
        <v>112</v>
      </c>
      <c r="H105" t="s">
        <v>1182</v>
      </c>
      <c r="I105" t="s">
        <v>1194</v>
      </c>
      <c r="J105">
        <v>2</v>
      </c>
      <c r="K105">
        <v>2</v>
      </c>
      <c r="L105">
        <v>1</v>
      </c>
      <c r="M105" t="s">
        <v>555</v>
      </c>
      <c r="N105" t="s">
        <v>642</v>
      </c>
      <c r="O105">
        <v>35000</v>
      </c>
      <c r="P105" t="s">
        <v>752</v>
      </c>
      <c r="Q105" t="s">
        <v>751</v>
      </c>
      <c r="R105">
        <v>20</v>
      </c>
    </row>
    <row r="106" spans="1:18" x14ac:dyDescent="0.3">
      <c r="A106" t="s">
        <v>1026</v>
      </c>
      <c r="B106" t="s">
        <v>0</v>
      </c>
      <c r="C106">
        <v>48.8</v>
      </c>
      <c r="D106" t="s">
        <v>133</v>
      </c>
      <c r="E106" t="s">
        <v>29</v>
      </c>
      <c r="F106" t="s">
        <v>422</v>
      </c>
      <c r="G106" t="s">
        <v>18</v>
      </c>
      <c r="H106" t="s">
        <v>1182</v>
      </c>
      <c r="I106" t="s">
        <v>1189</v>
      </c>
      <c r="J106">
        <v>3</v>
      </c>
      <c r="K106">
        <v>2</v>
      </c>
      <c r="L106">
        <v>2</v>
      </c>
      <c r="M106" t="s">
        <v>422</v>
      </c>
      <c r="N106" t="s">
        <v>639</v>
      </c>
      <c r="O106">
        <v>25000</v>
      </c>
      <c r="P106" t="s">
        <v>752</v>
      </c>
      <c r="Q106" t="s">
        <v>749</v>
      </c>
      <c r="R106">
        <v>20</v>
      </c>
    </row>
    <row r="107" spans="1:18" x14ac:dyDescent="0.3">
      <c r="A107" t="s">
        <v>1027</v>
      </c>
      <c r="B107" t="s">
        <v>0</v>
      </c>
      <c r="C107">
        <v>47.43</v>
      </c>
      <c r="D107" t="s">
        <v>1028</v>
      </c>
      <c r="E107" t="s">
        <v>40</v>
      </c>
      <c r="F107" t="s">
        <v>183</v>
      </c>
      <c r="G107" t="s">
        <v>212</v>
      </c>
      <c r="H107" t="s">
        <v>1181</v>
      </c>
      <c r="I107" t="s">
        <v>1190</v>
      </c>
      <c r="J107">
        <v>4</v>
      </c>
      <c r="K107">
        <v>2</v>
      </c>
      <c r="L107">
        <v>2</v>
      </c>
      <c r="M107" t="s">
        <v>183</v>
      </c>
      <c r="N107" t="s">
        <v>753</v>
      </c>
      <c r="O107">
        <v>82000</v>
      </c>
      <c r="P107" t="s">
        <v>752</v>
      </c>
      <c r="Q107" t="s">
        <v>749</v>
      </c>
      <c r="R107">
        <v>20</v>
      </c>
    </row>
    <row r="108" spans="1:18" x14ac:dyDescent="0.3">
      <c r="A108" t="s">
        <v>1029</v>
      </c>
      <c r="B108" t="s">
        <v>0</v>
      </c>
      <c r="C108">
        <v>36.020000000000003</v>
      </c>
      <c r="D108" t="s">
        <v>1030</v>
      </c>
      <c r="E108" t="s">
        <v>72</v>
      </c>
      <c r="F108" t="s">
        <v>412</v>
      </c>
      <c r="G108" t="s">
        <v>54</v>
      </c>
      <c r="H108" t="s">
        <v>1193</v>
      </c>
      <c r="I108" t="s">
        <v>1215</v>
      </c>
      <c r="J108">
        <v>2</v>
      </c>
      <c r="K108">
        <v>1</v>
      </c>
      <c r="L108">
        <v>1</v>
      </c>
      <c r="M108" t="s">
        <v>412</v>
      </c>
      <c r="N108" t="s">
        <v>1173</v>
      </c>
      <c r="O108">
        <v>28000</v>
      </c>
      <c r="P108" t="s">
        <v>1172</v>
      </c>
      <c r="Q108" t="s">
        <v>749</v>
      </c>
      <c r="R108">
        <v>40</v>
      </c>
    </row>
    <row r="109" spans="1:18" x14ac:dyDescent="0.3">
      <c r="A109" t="s">
        <v>1031</v>
      </c>
      <c r="B109" t="s">
        <v>0</v>
      </c>
      <c r="C109">
        <v>37.5</v>
      </c>
      <c r="D109" t="s">
        <v>298</v>
      </c>
      <c r="E109" t="s">
        <v>27</v>
      </c>
      <c r="F109" t="s">
        <v>1032</v>
      </c>
      <c r="G109" t="s">
        <v>50</v>
      </c>
      <c r="H109" t="s">
        <v>1193</v>
      </c>
      <c r="I109" t="s">
        <v>1210</v>
      </c>
      <c r="J109">
        <v>2</v>
      </c>
      <c r="K109">
        <v>2</v>
      </c>
      <c r="L109">
        <v>2</v>
      </c>
      <c r="M109" t="s">
        <v>1032</v>
      </c>
      <c r="N109" t="s">
        <v>639</v>
      </c>
      <c r="O109">
        <v>27000</v>
      </c>
      <c r="P109" t="s">
        <v>752</v>
      </c>
      <c r="Q109" t="s">
        <v>749</v>
      </c>
      <c r="R109">
        <v>20</v>
      </c>
    </row>
    <row r="110" spans="1:18" x14ac:dyDescent="0.3">
      <c r="A110" t="s">
        <v>1033</v>
      </c>
      <c r="B110" t="s">
        <v>0</v>
      </c>
      <c r="C110">
        <v>113.59</v>
      </c>
      <c r="D110" t="s">
        <v>1034</v>
      </c>
      <c r="E110" t="s">
        <v>1035</v>
      </c>
      <c r="F110" t="s">
        <v>1036</v>
      </c>
      <c r="G110" t="s">
        <v>119</v>
      </c>
      <c r="H110" t="s">
        <v>1180</v>
      </c>
      <c r="I110" t="s">
        <v>1185</v>
      </c>
      <c r="J110">
        <v>5</v>
      </c>
      <c r="K110">
        <v>3</v>
      </c>
      <c r="L110">
        <v>4</v>
      </c>
      <c r="M110" t="s">
        <v>1216</v>
      </c>
      <c r="N110" t="s">
        <v>1176</v>
      </c>
      <c r="O110">
        <v>75000</v>
      </c>
      <c r="P110" t="s">
        <v>1175</v>
      </c>
      <c r="Q110" t="s">
        <v>749</v>
      </c>
      <c r="R110">
        <v>20</v>
      </c>
    </row>
    <row r="111" spans="1:18" x14ac:dyDescent="0.3">
      <c r="A111" t="s">
        <v>417</v>
      </c>
      <c r="B111" t="s">
        <v>0</v>
      </c>
      <c r="C111">
        <v>25.93</v>
      </c>
      <c r="D111" t="s">
        <v>138</v>
      </c>
      <c r="E111" t="s">
        <v>95</v>
      </c>
      <c r="F111" t="s">
        <v>418</v>
      </c>
      <c r="G111" t="s">
        <v>52</v>
      </c>
      <c r="H111" t="s">
        <v>1198</v>
      </c>
      <c r="I111" t="s">
        <v>1181</v>
      </c>
      <c r="J111">
        <v>3</v>
      </c>
      <c r="K111">
        <v>2</v>
      </c>
      <c r="L111">
        <v>1</v>
      </c>
      <c r="M111" t="s">
        <v>418</v>
      </c>
      <c r="N111" t="s">
        <v>642</v>
      </c>
      <c r="O111">
        <v>24000</v>
      </c>
      <c r="P111" t="s">
        <v>752</v>
      </c>
      <c r="Q111" t="s">
        <v>751</v>
      </c>
      <c r="R111">
        <v>10</v>
      </c>
    </row>
    <row r="112" spans="1:18" x14ac:dyDescent="0.3">
      <c r="A112" t="s">
        <v>1037</v>
      </c>
      <c r="B112" t="s">
        <v>0</v>
      </c>
      <c r="C112">
        <v>21.77</v>
      </c>
      <c r="D112" t="s">
        <v>53</v>
      </c>
      <c r="E112" t="s">
        <v>95</v>
      </c>
      <c r="F112" t="s">
        <v>418</v>
      </c>
      <c r="G112" t="s">
        <v>116</v>
      </c>
      <c r="H112" t="s">
        <v>1188</v>
      </c>
      <c r="I112" t="s">
        <v>1181</v>
      </c>
      <c r="J112">
        <v>3</v>
      </c>
      <c r="K112">
        <v>2</v>
      </c>
      <c r="L112">
        <v>1</v>
      </c>
      <c r="M112" t="s">
        <v>418</v>
      </c>
      <c r="N112" t="s">
        <v>642</v>
      </c>
      <c r="O112">
        <v>23000</v>
      </c>
      <c r="P112" t="s">
        <v>752</v>
      </c>
      <c r="Q112" t="s">
        <v>751</v>
      </c>
      <c r="R112">
        <v>10</v>
      </c>
    </row>
    <row r="113" spans="1:18" x14ac:dyDescent="0.3">
      <c r="A113" t="s">
        <v>1038</v>
      </c>
      <c r="B113" t="s">
        <v>0</v>
      </c>
      <c r="C113">
        <v>12.61</v>
      </c>
      <c r="D113" t="s">
        <v>88</v>
      </c>
      <c r="E113" t="s">
        <v>90</v>
      </c>
      <c r="F113" t="s">
        <v>1039</v>
      </c>
      <c r="G113" t="s">
        <v>18</v>
      </c>
      <c r="H113" t="s">
        <v>1204</v>
      </c>
      <c r="I113" t="s">
        <v>1178</v>
      </c>
      <c r="J113">
        <v>2</v>
      </c>
      <c r="K113">
        <v>1</v>
      </c>
      <c r="L113">
        <v>1</v>
      </c>
      <c r="M113" t="s">
        <v>1039</v>
      </c>
      <c r="N113" t="s">
        <v>642</v>
      </c>
      <c r="O113">
        <v>25000</v>
      </c>
      <c r="P113" t="s">
        <v>752</v>
      </c>
      <c r="Q113" t="s">
        <v>750</v>
      </c>
      <c r="R113">
        <v>20</v>
      </c>
    </row>
    <row r="114" spans="1:18" x14ac:dyDescent="0.3">
      <c r="A114" t="s">
        <v>1040</v>
      </c>
      <c r="B114" t="s">
        <v>0</v>
      </c>
      <c r="C114">
        <v>48.4</v>
      </c>
      <c r="D114" t="s">
        <v>84</v>
      </c>
      <c r="E114" t="s">
        <v>29</v>
      </c>
      <c r="F114" t="s">
        <v>613</v>
      </c>
      <c r="G114" t="s">
        <v>112</v>
      </c>
      <c r="H114" t="s">
        <v>1181</v>
      </c>
      <c r="I114" t="s">
        <v>1179</v>
      </c>
      <c r="J114">
        <v>3</v>
      </c>
      <c r="K114">
        <v>2</v>
      </c>
      <c r="L114">
        <v>2</v>
      </c>
      <c r="M114" t="s">
        <v>613</v>
      </c>
      <c r="N114" t="s">
        <v>1173</v>
      </c>
      <c r="O114">
        <v>35000</v>
      </c>
      <c r="P114" t="s">
        <v>1172</v>
      </c>
      <c r="Q114" t="s">
        <v>749</v>
      </c>
      <c r="R114">
        <v>20</v>
      </c>
    </row>
    <row r="115" spans="1:18" x14ac:dyDescent="0.3">
      <c r="A115" t="s">
        <v>1041</v>
      </c>
      <c r="B115" t="s">
        <v>0</v>
      </c>
      <c r="C115">
        <v>59.11</v>
      </c>
      <c r="D115" t="s">
        <v>1042</v>
      </c>
      <c r="E115" t="s">
        <v>205</v>
      </c>
      <c r="F115" t="s">
        <v>550</v>
      </c>
      <c r="G115" t="s">
        <v>20</v>
      </c>
      <c r="H115" t="s">
        <v>1209</v>
      </c>
      <c r="I115" t="s">
        <v>1212</v>
      </c>
      <c r="J115">
        <v>3</v>
      </c>
      <c r="K115">
        <v>2</v>
      </c>
      <c r="L115">
        <v>2</v>
      </c>
      <c r="M115" t="s">
        <v>550</v>
      </c>
      <c r="N115" t="s">
        <v>642</v>
      </c>
      <c r="O115">
        <v>46000</v>
      </c>
      <c r="P115" t="s">
        <v>752</v>
      </c>
      <c r="Q115" t="s">
        <v>749</v>
      </c>
      <c r="R115">
        <v>30</v>
      </c>
    </row>
    <row r="116" spans="1:18" x14ac:dyDescent="0.3">
      <c r="A116" t="s">
        <v>1043</v>
      </c>
      <c r="B116" t="s">
        <v>0</v>
      </c>
      <c r="C116">
        <v>47.19</v>
      </c>
      <c r="D116" t="s">
        <v>430</v>
      </c>
      <c r="E116" t="s">
        <v>40</v>
      </c>
      <c r="F116" t="s">
        <v>1044</v>
      </c>
      <c r="G116" t="s">
        <v>18</v>
      </c>
      <c r="H116" t="s">
        <v>1199</v>
      </c>
      <c r="I116" t="s">
        <v>1199</v>
      </c>
      <c r="J116">
        <v>4</v>
      </c>
      <c r="K116">
        <v>2</v>
      </c>
      <c r="L116">
        <v>2</v>
      </c>
      <c r="M116" t="s">
        <v>1044</v>
      </c>
      <c r="N116" t="s">
        <v>643</v>
      </c>
      <c r="O116">
        <v>25000</v>
      </c>
      <c r="P116" t="s">
        <v>752</v>
      </c>
      <c r="Q116" t="s">
        <v>749</v>
      </c>
      <c r="R116">
        <v>20</v>
      </c>
    </row>
    <row r="117" spans="1:18" x14ac:dyDescent="0.3">
      <c r="A117" t="s">
        <v>1045</v>
      </c>
      <c r="B117" t="s">
        <v>0</v>
      </c>
      <c r="C117">
        <v>30.5</v>
      </c>
      <c r="D117" t="s">
        <v>223</v>
      </c>
      <c r="E117" t="s">
        <v>286</v>
      </c>
      <c r="F117" t="s">
        <v>1046</v>
      </c>
      <c r="G117" t="s">
        <v>15</v>
      </c>
      <c r="H117" t="s">
        <v>1205</v>
      </c>
      <c r="I117" t="s">
        <v>1179</v>
      </c>
      <c r="J117">
        <v>2</v>
      </c>
      <c r="K117">
        <v>1</v>
      </c>
      <c r="L117">
        <v>2</v>
      </c>
      <c r="M117" t="s">
        <v>1046</v>
      </c>
      <c r="N117" t="s">
        <v>1176</v>
      </c>
      <c r="O117">
        <v>32000</v>
      </c>
      <c r="P117" t="s">
        <v>1175</v>
      </c>
      <c r="Q117" t="s">
        <v>749</v>
      </c>
      <c r="R117">
        <v>20</v>
      </c>
    </row>
    <row r="118" spans="1:18" x14ac:dyDescent="0.3">
      <c r="A118" t="s">
        <v>1047</v>
      </c>
      <c r="B118" t="s">
        <v>0</v>
      </c>
      <c r="C118">
        <v>58.12</v>
      </c>
      <c r="D118" t="s">
        <v>225</v>
      </c>
      <c r="E118" t="s">
        <v>40</v>
      </c>
      <c r="F118" t="s">
        <v>457</v>
      </c>
      <c r="G118" t="s">
        <v>54</v>
      </c>
      <c r="H118" t="s">
        <v>1181</v>
      </c>
      <c r="I118" t="s">
        <v>1195</v>
      </c>
      <c r="J118">
        <v>4</v>
      </c>
      <c r="K118">
        <v>2</v>
      </c>
      <c r="L118">
        <v>2</v>
      </c>
      <c r="M118" t="s">
        <v>457</v>
      </c>
      <c r="N118" t="s">
        <v>643</v>
      </c>
      <c r="O118">
        <v>28000</v>
      </c>
      <c r="P118" t="s">
        <v>752</v>
      </c>
      <c r="Q118" t="s">
        <v>749</v>
      </c>
      <c r="R118">
        <v>30</v>
      </c>
    </row>
    <row r="119" spans="1:18" x14ac:dyDescent="0.3">
      <c r="A119" t="s">
        <v>1048</v>
      </c>
      <c r="B119" t="s">
        <v>0</v>
      </c>
      <c r="C119">
        <v>40.020000000000003</v>
      </c>
      <c r="D119" t="s">
        <v>187</v>
      </c>
      <c r="E119" t="s">
        <v>29</v>
      </c>
      <c r="F119" t="s">
        <v>1049</v>
      </c>
      <c r="G119" t="s">
        <v>136</v>
      </c>
      <c r="H119" t="s">
        <v>1193</v>
      </c>
      <c r="I119" t="s">
        <v>1182</v>
      </c>
      <c r="J119">
        <v>3</v>
      </c>
      <c r="K119">
        <v>2</v>
      </c>
      <c r="L119">
        <v>2</v>
      </c>
      <c r="M119" t="s">
        <v>1049</v>
      </c>
      <c r="N119" t="s">
        <v>639</v>
      </c>
      <c r="O119">
        <v>19000</v>
      </c>
      <c r="P119" t="s">
        <v>752</v>
      </c>
      <c r="Q119" t="s">
        <v>749</v>
      </c>
      <c r="R119">
        <v>10</v>
      </c>
    </row>
    <row r="120" spans="1:18" x14ac:dyDescent="0.3">
      <c r="A120" t="s">
        <v>1050</v>
      </c>
      <c r="B120" t="s">
        <v>0</v>
      </c>
      <c r="C120">
        <v>22.95</v>
      </c>
      <c r="D120" t="s">
        <v>458</v>
      </c>
      <c r="E120" t="s">
        <v>35</v>
      </c>
      <c r="F120" t="s">
        <v>575</v>
      </c>
      <c r="G120" t="s">
        <v>116</v>
      </c>
      <c r="H120" t="s">
        <v>1205</v>
      </c>
      <c r="I120" t="s">
        <v>1185</v>
      </c>
      <c r="J120">
        <v>2</v>
      </c>
      <c r="K120">
        <v>2</v>
      </c>
      <c r="L120">
        <v>1</v>
      </c>
      <c r="M120" t="s">
        <v>575</v>
      </c>
      <c r="N120" t="s">
        <v>642</v>
      </c>
      <c r="O120">
        <v>23000</v>
      </c>
      <c r="P120" t="s">
        <v>752</v>
      </c>
      <c r="Q120" t="s">
        <v>751</v>
      </c>
      <c r="R120">
        <v>20</v>
      </c>
    </row>
    <row r="121" spans="1:18" x14ac:dyDescent="0.3">
      <c r="A121" t="s">
        <v>202</v>
      </c>
      <c r="B121" t="s">
        <v>0</v>
      </c>
      <c r="C121">
        <v>13.98</v>
      </c>
      <c r="D121" t="s">
        <v>49</v>
      </c>
      <c r="E121" t="s">
        <v>30</v>
      </c>
      <c r="F121" t="s">
        <v>201</v>
      </c>
      <c r="G121" t="s">
        <v>203</v>
      </c>
      <c r="H121" t="s">
        <v>1187</v>
      </c>
      <c r="I121" t="s">
        <v>1178</v>
      </c>
      <c r="J121">
        <v>1</v>
      </c>
      <c r="K121">
        <v>1</v>
      </c>
      <c r="L121">
        <v>1</v>
      </c>
      <c r="M121" t="s">
        <v>201</v>
      </c>
      <c r="N121" t="s">
        <v>753</v>
      </c>
      <c r="O121">
        <v>37000</v>
      </c>
      <c r="P121" t="s">
        <v>752</v>
      </c>
      <c r="Q121" t="s">
        <v>750</v>
      </c>
      <c r="R121">
        <v>20</v>
      </c>
    </row>
    <row r="122" spans="1:18" x14ac:dyDescent="0.3">
      <c r="A122" t="s">
        <v>1051</v>
      </c>
      <c r="B122" t="s">
        <v>0</v>
      </c>
      <c r="C122">
        <v>46.9</v>
      </c>
      <c r="D122" t="s">
        <v>65</v>
      </c>
      <c r="E122" t="s">
        <v>29</v>
      </c>
      <c r="F122" t="s">
        <v>208</v>
      </c>
      <c r="G122" t="s">
        <v>1</v>
      </c>
      <c r="H122" t="s">
        <v>1205</v>
      </c>
      <c r="I122" t="s">
        <v>1178</v>
      </c>
      <c r="J122">
        <v>3</v>
      </c>
      <c r="K122">
        <v>2</v>
      </c>
      <c r="L122">
        <v>2</v>
      </c>
      <c r="M122" t="s">
        <v>208</v>
      </c>
      <c r="N122" t="s">
        <v>753</v>
      </c>
      <c r="O122">
        <v>55000</v>
      </c>
      <c r="P122" t="s">
        <v>752</v>
      </c>
      <c r="Q122" t="s">
        <v>749</v>
      </c>
      <c r="R122">
        <v>20</v>
      </c>
    </row>
    <row r="123" spans="1:18" x14ac:dyDescent="0.3">
      <c r="A123" t="s">
        <v>1052</v>
      </c>
      <c r="B123" t="s">
        <v>0</v>
      </c>
      <c r="C123">
        <v>53.81</v>
      </c>
      <c r="D123" t="s">
        <v>67</v>
      </c>
      <c r="E123" t="s">
        <v>47</v>
      </c>
      <c r="F123" t="s">
        <v>162</v>
      </c>
      <c r="G123" t="s">
        <v>1053</v>
      </c>
      <c r="H123" t="s">
        <v>1193</v>
      </c>
      <c r="I123" t="s">
        <v>1183</v>
      </c>
      <c r="J123">
        <v>1</v>
      </c>
      <c r="K123">
        <v>2</v>
      </c>
      <c r="L123">
        <v>1</v>
      </c>
      <c r="M123" t="s">
        <v>162</v>
      </c>
      <c r="N123" t="s">
        <v>753</v>
      </c>
      <c r="O123">
        <v>118000</v>
      </c>
      <c r="P123" t="s">
        <v>752</v>
      </c>
      <c r="Q123" t="s">
        <v>749</v>
      </c>
      <c r="R123">
        <v>20</v>
      </c>
    </row>
    <row r="124" spans="1:18" x14ac:dyDescent="0.3">
      <c r="A124" t="s">
        <v>1054</v>
      </c>
      <c r="B124" t="s">
        <v>0</v>
      </c>
      <c r="C124">
        <v>44.9</v>
      </c>
      <c r="D124" t="s">
        <v>199</v>
      </c>
      <c r="E124" t="s">
        <v>29</v>
      </c>
      <c r="F124" t="s">
        <v>477</v>
      </c>
      <c r="G124" t="s">
        <v>115</v>
      </c>
      <c r="H124" t="s">
        <v>1193</v>
      </c>
      <c r="I124" t="s">
        <v>1179</v>
      </c>
      <c r="J124">
        <v>3</v>
      </c>
      <c r="K124">
        <v>2</v>
      </c>
      <c r="L124">
        <v>2</v>
      </c>
      <c r="M124" t="s">
        <v>477</v>
      </c>
      <c r="N124" t="s">
        <v>1173</v>
      </c>
      <c r="O124">
        <v>30000</v>
      </c>
      <c r="P124" t="s">
        <v>1172</v>
      </c>
      <c r="Q124" t="s">
        <v>749</v>
      </c>
      <c r="R124">
        <v>20</v>
      </c>
    </row>
    <row r="125" spans="1:18" x14ac:dyDescent="0.3">
      <c r="A125" t="s">
        <v>1055</v>
      </c>
      <c r="B125" t="s">
        <v>0</v>
      </c>
      <c r="C125">
        <v>46.04</v>
      </c>
      <c r="D125" t="s">
        <v>85</v>
      </c>
      <c r="E125" t="s">
        <v>205</v>
      </c>
      <c r="F125" t="s">
        <v>1056</v>
      </c>
      <c r="G125" t="s">
        <v>119</v>
      </c>
      <c r="H125" t="s">
        <v>1204</v>
      </c>
      <c r="I125" t="s">
        <v>1193</v>
      </c>
      <c r="J125">
        <v>3</v>
      </c>
      <c r="K125">
        <v>2</v>
      </c>
      <c r="L125">
        <v>2</v>
      </c>
      <c r="M125" t="s">
        <v>1217</v>
      </c>
      <c r="N125" t="s">
        <v>753</v>
      </c>
      <c r="O125">
        <v>75000</v>
      </c>
      <c r="P125" t="s">
        <v>752</v>
      </c>
      <c r="Q125" t="s">
        <v>749</v>
      </c>
      <c r="R125">
        <v>10</v>
      </c>
    </row>
    <row r="126" spans="1:18" x14ac:dyDescent="0.3">
      <c r="A126" t="s">
        <v>1057</v>
      </c>
      <c r="B126" t="s">
        <v>0</v>
      </c>
      <c r="C126">
        <v>43.33</v>
      </c>
      <c r="D126" t="s">
        <v>42</v>
      </c>
      <c r="E126" t="s">
        <v>29</v>
      </c>
      <c r="F126" t="s">
        <v>118</v>
      </c>
      <c r="G126" t="s">
        <v>4</v>
      </c>
      <c r="H126" t="s">
        <v>1203</v>
      </c>
      <c r="I126" t="s">
        <v>1178</v>
      </c>
      <c r="J126">
        <v>3</v>
      </c>
      <c r="K126">
        <v>2</v>
      </c>
      <c r="L126">
        <v>2</v>
      </c>
      <c r="M126" t="s">
        <v>118</v>
      </c>
      <c r="N126" t="s">
        <v>753</v>
      </c>
      <c r="O126">
        <v>68000</v>
      </c>
      <c r="P126" t="s">
        <v>752</v>
      </c>
      <c r="Q126" t="s">
        <v>749</v>
      </c>
      <c r="R126">
        <v>20</v>
      </c>
    </row>
    <row r="127" spans="1:18" x14ac:dyDescent="0.3">
      <c r="A127" t="s">
        <v>272</v>
      </c>
      <c r="B127" t="s">
        <v>0</v>
      </c>
      <c r="C127">
        <v>26.3</v>
      </c>
      <c r="D127" t="s">
        <v>177</v>
      </c>
      <c r="E127" t="s">
        <v>141</v>
      </c>
      <c r="F127" t="s">
        <v>113</v>
      </c>
      <c r="G127" t="s">
        <v>19</v>
      </c>
      <c r="H127" t="s">
        <v>1182</v>
      </c>
      <c r="I127" t="s">
        <v>1185</v>
      </c>
      <c r="J127">
        <v>2</v>
      </c>
      <c r="K127">
        <v>2</v>
      </c>
      <c r="L127">
        <v>1</v>
      </c>
      <c r="M127" t="s">
        <v>113</v>
      </c>
      <c r="N127" t="s">
        <v>753</v>
      </c>
      <c r="O127">
        <v>65000</v>
      </c>
      <c r="P127" t="s">
        <v>752</v>
      </c>
      <c r="Q127" t="s">
        <v>751</v>
      </c>
      <c r="R127">
        <v>20</v>
      </c>
    </row>
    <row r="128" spans="1:18" x14ac:dyDescent="0.3">
      <c r="A128" t="s">
        <v>1058</v>
      </c>
      <c r="B128" t="s">
        <v>0</v>
      </c>
      <c r="C128">
        <v>12.01</v>
      </c>
      <c r="D128" t="s">
        <v>427</v>
      </c>
      <c r="E128" t="s">
        <v>30</v>
      </c>
      <c r="F128" t="s">
        <v>1059</v>
      </c>
      <c r="G128" t="s">
        <v>12</v>
      </c>
      <c r="H128" t="s">
        <v>1178</v>
      </c>
      <c r="I128" t="s">
        <v>1184</v>
      </c>
      <c r="J128">
        <v>1</v>
      </c>
      <c r="K128">
        <v>1</v>
      </c>
      <c r="L128">
        <v>1</v>
      </c>
      <c r="M128" t="s">
        <v>1059</v>
      </c>
      <c r="N128" t="s">
        <v>642</v>
      </c>
      <c r="O128">
        <v>22000</v>
      </c>
      <c r="P128" t="s">
        <v>752</v>
      </c>
      <c r="Q128" t="s">
        <v>750</v>
      </c>
      <c r="R128">
        <v>30</v>
      </c>
    </row>
    <row r="129" spans="1:18" x14ac:dyDescent="0.3">
      <c r="A129" t="s">
        <v>1060</v>
      </c>
      <c r="B129" t="s">
        <v>0</v>
      </c>
      <c r="C129">
        <v>26.46</v>
      </c>
      <c r="D129" t="s">
        <v>37</v>
      </c>
      <c r="E129" t="s">
        <v>29</v>
      </c>
      <c r="F129" t="s">
        <v>1061</v>
      </c>
      <c r="G129" t="s">
        <v>326</v>
      </c>
      <c r="H129" t="s">
        <v>1181</v>
      </c>
      <c r="I129" t="s">
        <v>1181</v>
      </c>
      <c r="J129">
        <v>3</v>
      </c>
      <c r="K129">
        <v>2</v>
      </c>
      <c r="L129">
        <v>2</v>
      </c>
      <c r="M129" t="s">
        <v>1061</v>
      </c>
      <c r="N129" t="s">
        <v>642</v>
      </c>
      <c r="O129">
        <v>19800</v>
      </c>
      <c r="P129" t="s">
        <v>752</v>
      </c>
      <c r="Q129" t="s">
        <v>751</v>
      </c>
      <c r="R129">
        <v>10</v>
      </c>
    </row>
    <row r="130" spans="1:18" x14ac:dyDescent="0.3">
      <c r="A130" t="s">
        <v>1062</v>
      </c>
      <c r="B130" t="s">
        <v>0</v>
      </c>
      <c r="C130">
        <v>31.86</v>
      </c>
      <c r="D130" t="s">
        <v>53</v>
      </c>
      <c r="E130" t="s">
        <v>194</v>
      </c>
      <c r="F130" t="s">
        <v>1063</v>
      </c>
      <c r="G130" t="s">
        <v>50</v>
      </c>
      <c r="H130" t="s">
        <v>1188</v>
      </c>
      <c r="I130" t="s">
        <v>1181</v>
      </c>
      <c r="J130">
        <v>3</v>
      </c>
      <c r="K130">
        <v>2</v>
      </c>
      <c r="L130">
        <v>5</v>
      </c>
      <c r="M130" t="s">
        <v>1063</v>
      </c>
      <c r="N130" t="s">
        <v>642</v>
      </c>
      <c r="O130">
        <v>27000</v>
      </c>
      <c r="P130" t="s">
        <v>752</v>
      </c>
      <c r="Q130" t="s">
        <v>749</v>
      </c>
      <c r="R130">
        <v>10</v>
      </c>
    </row>
    <row r="131" spans="1:18" x14ac:dyDescent="0.3">
      <c r="A131" t="s">
        <v>1064</v>
      </c>
      <c r="B131" t="s">
        <v>0</v>
      </c>
      <c r="C131">
        <v>28.94</v>
      </c>
      <c r="D131" t="s">
        <v>38</v>
      </c>
      <c r="E131" t="s">
        <v>107</v>
      </c>
      <c r="F131" t="s">
        <v>227</v>
      </c>
      <c r="G131" t="s">
        <v>22</v>
      </c>
      <c r="H131" t="s">
        <v>1197</v>
      </c>
      <c r="I131" t="s">
        <v>1187</v>
      </c>
      <c r="J131">
        <v>4</v>
      </c>
      <c r="K131">
        <v>1</v>
      </c>
      <c r="L131">
        <v>1</v>
      </c>
      <c r="M131" t="s">
        <v>227</v>
      </c>
      <c r="N131" t="s">
        <v>753</v>
      </c>
      <c r="O131">
        <v>45000</v>
      </c>
      <c r="P131" t="s">
        <v>752</v>
      </c>
      <c r="Q131" t="s">
        <v>751</v>
      </c>
      <c r="R131">
        <v>10</v>
      </c>
    </row>
    <row r="132" spans="1:18" x14ac:dyDescent="0.3">
      <c r="A132" t="s">
        <v>1065</v>
      </c>
      <c r="B132" t="s">
        <v>0</v>
      </c>
      <c r="C132">
        <v>90.91</v>
      </c>
      <c r="D132" t="s">
        <v>1066</v>
      </c>
      <c r="E132" t="s">
        <v>1067</v>
      </c>
      <c r="F132" t="s">
        <v>1068</v>
      </c>
      <c r="G132" t="s">
        <v>132</v>
      </c>
      <c r="H132" t="s">
        <v>1180</v>
      </c>
      <c r="I132" t="s">
        <v>1193</v>
      </c>
      <c r="J132">
        <v>6</v>
      </c>
      <c r="K132">
        <v>3</v>
      </c>
      <c r="L132">
        <v>2</v>
      </c>
      <c r="M132" t="s">
        <v>1068</v>
      </c>
      <c r="N132" t="s">
        <v>642</v>
      </c>
      <c r="O132">
        <v>120000</v>
      </c>
      <c r="P132" t="s">
        <v>752</v>
      </c>
      <c r="Q132" t="s">
        <v>749</v>
      </c>
      <c r="R132">
        <v>10</v>
      </c>
    </row>
    <row r="133" spans="1:18" x14ac:dyDescent="0.3">
      <c r="A133" t="s">
        <v>447</v>
      </c>
      <c r="B133" t="s">
        <v>0</v>
      </c>
      <c r="C133">
        <v>38.86</v>
      </c>
      <c r="D133" t="s">
        <v>444</v>
      </c>
      <c r="E133" t="s">
        <v>27</v>
      </c>
      <c r="F133" t="s">
        <v>402</v>
      </c>
      <c r="G133" t="s">
        <v>18</v>
      </c>
      <c r="H133" t="s">
        <v>1189</v>
      </c>
      <c r="I133" t="s">
        <v>1218</v>
      </c>
      <c r="J133">
        <v>2</v>
      </c>
      <c r="K133">
        <v>2</v>
      </c>
      <c r="L133">
        <v>2</v>
      </c>
      <c r="M133" t="s">
        <v>402</v>
      </c>
      <c r="N133" t="s">
        <v>642</v>
      </c>
      <c r="O133">
        <v>25000</v>
      </c>
      <c r="P133" t="s">
        <v>752</v>
      </c>
      <c r="Q133" t="s">
        <v>749</v>
      </c>
      <c r="R133">
        <v>30</v>
      </c>
    </row>
    <row r="134" spans="1:18" x14ac:dyDescent="0.3">
      <c r="A134" t="s">
        <v>1069</v>
      </c>
      <c r="B134" t="s">
        <v>0</v>
      </c>
      <c r="C134">
        <v>77.260000000000005</v>
      </c>
      <c r="D134" t="s">
        <v>1070</v>
      </c>
      <c r="E134" t="s">
        <v>40</v>
      </c>
      <c r="F134" t="s">
        <v>1071</v>
      </c>
      <c r="G134" t="s">
        <v>4</v>
      </c>
      <c r="H134" t="s">
        <v>1185</v>
      </c>
      <c r="I134" t="s">
        <v>1195</v>
      </c>
      <c r="J134">
        <v>4</v>
      </c>
      <c r="K134">
        <v>2</v>
      </c>
      <c r="L134">
        <v>2</v>
      </c>
      <c r="M134" t="s">
        <v>1071</v>
      </c>
      <c r="N134" t="s">
        <v>1173</v>
      </c>
      <c r="O134">
        <v>68000</v>
      </c>
      <c r="P134" t="s">
        <v>1172</v>
      </c>
      <c r="Q134" t="s">
        <v>749</v>
      </c>
      <c r="R134">
        <v>30</v>
      </c>
    </row>
    <row r="135" spans="1:18" x14ac:dyDescent="0.3">
      <c r="A135" t="s">
        <v>1072</v>
      </c>
      <c r="B135" t="s">
        <v>0</v>
      </c>
      <c r="C135">
        <v>53.96</v>
      </c>
      <c r="D135" t="s">
        <v>176</v>
      </c>
      <c r="E135" t="s">
        <v>29</v>
      </c>
      <c r="F135" t="s">
        <v>24</v>
      </c>
      <c r="G135" t="s">
        <v>59</v>
      </c>
      <c r="H135" t="s">
        <v>1203</v>
      </c>
      <c r="I135" t="s">
        <v>1194</v>
      </c>
      <c r="J135">
        <v>3</v>
      </c>
      <c r="K135">
        <v>2</v>
      </c>
      <c r="L135">
        <v>2</v>
      </c>
      <c r="M135" t="s">
        <v>24</v>
      </c>
      <c r="N135" t="s">
        <v>753</v>
      </c>
      <c r="O135">
        <v>60000</v>
      </c>
      <c r="P135" t="s">
        <v>752</v>
      </c>
      <c r="Q135" t="s">
        <v>749</v>
      </c>
      <c r="R135">
        <v>20</v>
      </c>
    </row>
    <row r="136" spans="1:18" x14ac:dyDescent="0.3">
      <c r="A136" t="s">
        <v>1073</v>
      </c>
      <c r="B136" t="s">
        <v>0</v>
      </c>
      <c r="C136">
        <v>39.08</v>
      </c>
      <c r="D136" t="s">
        <v>135</v>
      </c>
      <c r="E136" t="s">
        <v>194</v>
      </c>
      <c r="F136" t="s">
        <v>1074</v>
      </c>
      <c r="G136" t="s">
        <v>185</v>
      </c>
      <c r="H136" t="s">
        <v>1180</v>
      </c>
      <c r="I136" t="s">
        <v>1188</v>
      </c>
      <c r="J136">
        <v>3</v>
      </c>
      <c r="K136">
        <v>2</v>
      </c>
      <c r="L136">
        <v>5</v>
      </c>
      <c r="M136" t="s">
        <v>1074</v>
      </c>
      <c r="N136" t="s">
        <v>643</v>
      </c>
      <c r="O136">
        <v>20000</v>
      </c>
      <c r="P136" t="s">
        <v>752</v>
      </c>
      <c r="Q136" t="s">
        <v>749</v>
      </c>
      <c r="R136">
        <v>10</v>
      </c>
    </row>
    <row r="137" spans="1:18" x14ac:dyDescent="0.3">
      <c r="A137" t="s">
        <v>1075</v>
      </c>
      <c r="B137" t="s">
        <v>0</v>
      </c>
      <c r="C137">
        <v>20.329999999999998</v>
      </c>
      <c r="D137" t="s">
        <v>143</v>
      </c>
      <c r="E137" t="s">
        <v>47</v>
      </c>
      <c r="F137" t="s">
        <v>127</v>
      </c>
      <c r="G137" t="s">
        <v>15</v>
      </c>
      <c r="H137" t="s">
        <v>1203</v>
      </c>
      <c r="I137" t="s">
        <v>1199</v>
      </c>
      <c r="J137">
        <v>1</v>
      </c>
      <c r="K137">
        <v>2</v>
      </c>
      <c r="L137">
        <v>1</v>
      </c>
      <c r="M137" t="s">
        <v>127</v>
      </c>
      <c r="N137" t="s">
        <v>753</v>
      </c>
      <c r="O137">
        <v>32000</v>
      </c>
      <c r="P137" t="s">
        <v>752</v>
      </c>
      <c r="Q137" t="s">
        <v>751</v>
      </c>
      <c r="R137">
        <v>20</v>
      </c>
    </row>
    <row r="138" spans="1:18" x14ac:dyDescent="0.3">
      <c r="A138" t="s">
        <v>1076</v>
      </c>
      <c r="B138" t="s">
        <v>0</v>
      </c>
      <c r="C138">
        <v>8.32</v>
      </c>
      <c r="D138" t="s">
        <v>26</v>
      </c>
      <c r="E138" t="s">
        <v>30</v>
      </c>
      <c r="F138" t="s">
        <v>63</v>
      </c>
      <c r="G138" t="s">
        <v>136</v>
      </c>
      <c r="H138" t="s">
        <v>1188</v>
      </c>
      <c r="I138" t="s">
        <v>1193</v>
      </c>
      <c r="J138">
        <v>1</v>
      </c>
      <c r="K138">
        <v>1</v>
      </c>
      <c r="L138">
        <v>1</v>
      </c>
      <c r="M138" t="s">
        <v>63</v>
      </c>
      <c r="N138" t="s">
        <v>753</v>
      </c>
      <c r="O138">
        <v>19000</v>
      </c>
      <c r="P138" t="s">
        <v>752</v>
      </c>
      <c r="Q138" t="s">
        <v>750</v>
      </c>
      <c r="R138">
        <v>10</v>
      </c>
    </row>
    <row r="139" spans="1:18" x14ac:dyDescent="0.3">
      <c r="A139" t="s">
        <v>1077</v>
      </c>
      <c r="B139" t="s">
        <v>0</v>
      </c>
      <c r="C139">
        <v>38.869999999999997</v>
      </c>
      <c r="D139" t="s">
        <v>233</v>
      </c>
      <c r="E139" t="s">
        <v>29</v>
      </c>
      <c r="F139" t="s">
        <v>1078</v>
      </c>
      <c r="G139" t="s">
        <v>18</v>
      </c>
      <c r="H139" t="s">
        <v>1204</v>
      </c>
      <c r="I139" t="s">
        <v>1179</v>
      </c>
      <c r="J139">
        <v>3</v>
      </c>
      <c r="K139">
        <v>2</v>
      </c>
      <c r="L139">
        <v>2</v>
      </c>
      <c r="M139" t="s">
        <v>1078</v>
      </c>
      <c r="N139" t="s">
        <v>639</v>
      </c>
      <c r="O139">
        <v>25000</v>
      </c>
      <c r="P139" t="s">
        <v>752</v>
      </c>
      <c r="Q139" t="s">
        <v>749</v>
      </c>
      <c r="R139">
        <v>20</v>
      </c>
    </row>
    <row r="140" spans="1:18" x14ac:dyDescent="0.3">
      <c r="A140" t="s">
        <v>1079</v>
      </c>
      <c r="B140" t="s">
        <v>0</v>
      </c>
      <c r="C140">
        <v>29.54</v>
      </c>
      <c r="D140" t="s">
        <v>135</v>
      </c>
      <c r="E140" t="s">
        <v>1080</v>
      </c>
      <c r="F140" t="s">
        <v>1081</v>
      </c>
      <c r="G140" t="s">
        <v>185</v>
      </c>
      <c r="H140" t="s">
        <v>1180</v>
      </c>
      <c r="I140" t="s">
        <v>1188</v>
      </c>
      <c r="J140">
        <v>6</v>
      </c>
      <c r="K140">
        <v>2</v>
      </c>
      <c r="L140">
        <v>5</v>
      </c>
      <c r="M140" t="s">
        <v>1081</v>
      </c>
      <c r="N140" t="s">
        <v>640</v>
      </c>
      <c r="O140">
        <v>20000</v>
      </c>
      <c r="P140" t="s">
        <v>1175</v>
      </c>
      <c r="Q140" t="s">
        <v>751</v>
      </c>
      <c r="R140">
        <v>10</v>
      </c>
    </row>
    <row r="141" spans="1:18" x14ac:dyDescent="0.3">
      <c r="A141" t="s">
        <v>1082</v>
      </c>
      <c r="B141" t="s">
        <v>0</v>
      </c>
      <c r="C141">
        <v>33.17</v>
      </c>
      <c r="D141" t="s">
        <v>301</v>
      </c>
      <c r="E141" t="s">
        <v>29</v>
      </c>
      <c r="F141" t="s">
        <v>540</v>
      </c>
      <c r="G141" t="s">
        <v>264</v>
      </c>
      <c r="H141" t="s">
        <v>1210</v>
      </c>
      <c r="I141" t="s">
        <v>1199</v>
      </c>
      <c r="J141">
        <v>3</v>
      </c>
      <c r="K141">
        <v>2</v>
      </c>
      <c r="L141">
        <v>2</v>
      </c>
      <c r="M141" t="s">
        <v>540</v>
      </c>
      <c r="N141" t="s">
        <v>1176</v>
      </c>
      <c r="O141">
        <v>17000</v>
      </c>
      <c r="P141" t="s">
        <v>1175</v>
      </c>
      <c r="Q141" t="s">
        <v>749</v>
      </c>
      <c r="R141">
        <v>20</v>
      </c>
    </row>
    <row r="142" spans="1:18" x14ac:dyDescent="0.3">
      <c r="A142" t="s">
        <v>1083</v>
      </c>
      <c r="B142" t="s">
        <v>0</v>
      </c>
      <c r="C142">
        <v>36.590000000000003</v>
      </c>
      <c r="D142" t="s">
        <v>108</v>
      </c>
      <c r="E142" t="s">
        <v>29</v>
      </c>
      <c r="F142" t="s">
        <v>1084</v>
      </c>
      <c r="G142" t="s">
        <v>112</v>
      </c>
      <c r="H142" t="s">
        <v>1188</v>
      </c>
      <c r="I142" t="s">
        <v>1187</v>
      </c>
      <c r="J142">
        <v>3</v>
      </c>
      <c r="K142">
        <v>2</v>
      </c>
      <c r="L142">
        <v>2</v>
      </c>
      <c r="M142" t="s">
        <v>1084</v>
      </c>
      <c r="N142" t="s">
        <v>642</v>
      </c>
      <c r="O142">
        <v>35000</v>
      </c>
      <c r="P142" t="s">
        <v>752</v>
      </c>
      <c r="Q142" t="s">
        <v>749</v>
      </c>
      <c r="R142">
        <v>10</v>
      </c>
    </row>
    <row r="143" spans="1:18" x14ac:dyDescent="0.3">
      <c r="A143" t="s">
        <v>1085</v>
      </c>
      <c r="B143" t="s">
        <v>0</v>
      </c>
      <c r="C143">
        <v>23.75</v>
      </c>
      <c r="D143" t="s">
        <v>39</v>
      </c>
      <c r="E143" t="s">
        <v>35</v>
      </c>
      <c r="F143" t="s">
        <v>1086</v>
      </c>
      <c r="G143" t="s">
        <v>185</v>
      </c>
      <c r="H143" t="s">
        <v>1187</v>
      </c>
      <c r="I143" t="s">
        <v>1187</v>
      </c>
      <c r="J143">
        <v>2</v>
      </c>
      <c r="K143">
        <v>2</v>
      </c>
      <c r="L143">
        <v>1</v>
      </c>
      <c r="M143" t="s">
        <v>1086</v>
      </c>
      <c r="N143" t="s">
        <v>642</v>
      </c>
      <c r="O143">
        <v>20000</v>
      </c>
      <c r="P143" t="s">
        <v>752</v>
      </c>
      <c r="Q143" t="s">
        <v>751</v>
      </c>
      <c r="R143">
        <v>10</v>
      </c>
    </row>
    <row r="144" spans="1:18" x14ac:dyDescent="0.3">
      <c r="A144" t="s">
        <v>1087</v>
      </c>
      <c r="B144" t="s">
        <v>0</v>
      </c>
      <c r="C144">
        <v>32.770000000000003</v>
      </c>
      <c r="D144" t="s">
        <v>28</v>
      </c>
      <c r="E144" t="s">
        <v>29</v>
      </c>
      <c r="F144" t="s">
        <v>403</v>
      </c>
      <c r="G144" t="s">
        <v>203</v>
      </c>
      <c r="H144" t="s">
        <v>1178</v>
      </c>
      <c r="I144" t="s">
        <v>1179</v>
      </c>
      <c r="J144">
        <v>3</v>
      </c>
      <c r="K144">
        <v>2</v>
      </c>
      <c r="L144">
        <v>2</v>
      </c>
      <c r="M144" t="s">
        <v>403</v>
      </c>
      <c r="N144" t="s">
        <v>642</v>
      </c>
      <c r="O144">
        <v>37000</v>
      </c>
      <c r="P144" t="s">
        <v>752</v>
      </c>
      <c r="Q144" t="s">
        <v>749</v>
      </c>
      <c r="R144">
        <v>20</v>
      </c>
    </row>
    <row r="145" spans="1:18" x14ac:dyDescent="0.3">
      <c r="A145" t="s">
        <v>1088</v>
      </c>
      <c r="B145" t="s">
        <v>0</v>
      </c>
      <c r="C145">
        <v>44.58</v>
      </c>
      <c r="D145" t="s">
        <v>110</v>
      </c>
      <c r="E145" t="s">
        <v>29</v>
      </c>
      <c r="F145" t="s">
        <v>399</v>
      </c>
      <c r="G145" t="s">
        <v>99</v>
      </c>
      <c r="H145" t="s">
        <v>1193</v>
      </c>
      <c r="I145" t="s">
        <v>1193</v>
      </c>
      <c r="J145">
        <v>3</v>
      </c>
      <c r="K145">
        <v>2</v>
      </c>
      <c r="L145">
        <v>2</v>
      </c>
      <c r="M145" t="s">
        <v>399</v>
      </c>
      <c r="N145" t="s">
        <v>642</v>
      </c>
      <c r="O145">
        <v>39000</v>
      </c>
      <c r="P145" t="s">
        <v>752</v>
      </c>
      <c r="Q145" t="s">
        <v>749</v>
      </c>
      <c r="R145">
        <v>10</v>
      </c>
    </row>
    <row r="146" spans="1:18" x14ac:dyDescent="0.3">
      <c r="A146" t="s">
        <v>443</v>
      </c>
      <c r="B146" t="s">
        <v>0</v>
      </c>
      <c r="C146">
        <v>38.86</v>
      </c>
      <c r="D146" t="s">
        <v>444</v>
      </c>
      <c r="E146" t="s">
        <v>27</v>
      </c>
      <c r="F146" t="s">
        <v>402</v>
      </c>
      <c r="G146" t="s">
        <v>18</v>
      </c>
      <c r="H146" t="s">
        <v>1189</v>
      </c>
      <c r="I146" t="s">
        <v>1218</v>
      </c>
      <c r="J146">
        <v>2</v>
      </c>
      <c r="K146">
        <v>2</v>
      </c>
      <c r="L146">
        <v>2</v>
      </c>
      <c r="M146" t="s">
        <v>402</v>
      </c>
      <c r="N146" t="s">
        <v>642</v>
      </c>
      <c r="O146">
        <v>25000</v>
      </c>
      <c r="P146" t="s">
        <v>752</v>
      </c>
      <c r="Q146" t="s">
        <v>749</v>
      </c>
      <c r="R146">
        <v>30</v>
      </c>
    </row>
    <row r="147" spans="1:18" x14ac:dyDescent="0.3">
      <c r="A147" t="s">
        <v>445</v>
      </c>
      <c r="B147" t="s">
        <v>0</v>
      </c>
      <c r="C147">
        <v>39.43</v>
      </c>
      <c r="D147" t="s">
        <v>446</v>
      </c>
      <c r="E147" t="s">
        <v>27</v>
      </c>
      <c r="F147" t="s">
        <v>402</v>
      </c>
      <c r="G147" t="s">
        <v>18</v>
      </c>
      <c r="H147" t="s">
        <v>1179</v>
      </c>
      <c r="I147" t="s">
        <v>1218</v>
      </c>
      <c r="J147">
        <v>2</v>
      </c>
      <c r="K147">
        <v>2</v>
      </c>
      <c r="L147">
        <v>2</v>
      </c>
      <c r="M147" t="s">
        <v>402</v>
      </c>
      <c r="N147" t="s">
        <v>642</v>
      </c>
      <c r="O147">
        <v>25000</v>
      </c>
      <c r="P147" t="s">
        <v>752</v>
      </c>
      <c r="Q147" t="s">
        <v>749</v>
      </c>
      <c r="R147">
        <v>30</v>
      </c>
    </row>
    <row r="148" spans="1:18" x14ac:dyDescent="0.3">
      <c r="A148" t="s">
        <v>1089</v>
      </c>
      <c r="B148" t="s">
        <v>0</v>
      </c>
      <c r="C148">
        <v>28.96</v>
      </c>
      <c r="D148" t="s">
        <v>85</v>
      </c>
      <c r="E148" t="s">
        <v>29</v>
      </c>
      <c r="F148" t="s">
        <v>1090</v>
      </c>
      <c r="G148" t="s">
        <v>264</v>
      </c>
      <c r="H148" t="s">
        <v>1204</v>
      </c>
      <c r="I148" t="s">
        <v>1193</v>
      </c>
      <c r="J148">
        <v>3</v>
      </c>
      <c r="K148">
        <v>2</v>
      </c>
      <c r="L148">
        <v>2</v>
      </c>
      <c r="M148" t="s">
        <v>1090</v>
      </c>
      <c r="N148" t="s">
        <v>639</v>
      </c>
      <c r="O148">
        <v>17000</v>
      </c>
      <c r="P148" t="s">
        <v>752</v>
      </c>
      <c r="Q148" t="s">
        <v>751</v>
      </c>
      <c r="R148">
        <v>10</v>
      </c>
    </row>
    <row r="149" spans="1:18" x14ac:dyDescent="0.3">
      <c r="A149" t="s">
        <v>1091</v>
      </c>
      <c r="B149" t="s">
        <v>0</v>
      </c>
      <c r="C149">
        <v>23.93</v>
      </c>
      <c r="D149" t="s">
        <v>1092</v>
      </c>
      <c r="E149" t="s">
        <v>47</v>
      </c>
      <c r="F149" t="s">
        <v>536</v>
      </c>
      <c r="G149" t="s">
        <v>185</v>
      </c>
      <c r="H149" t="s">
        <v>1195</v>
      </c>
      <c r="I149" t="s">
        <v>1212</v>
      </c>
      <c r="J149">
        <v>1</v>
      </c>
      <c r="K149">
        <v>2</v>
      </c>
      <c r="L149">
        <v>1</v>
      </c>
      <c r="M149" t="s">
        <v>536</v>
      </c>
      <c r="N149" t="s">
        <v>1173</v>
      </c>
      <c r="O149">
        <v>20000</v>
      </c>
      <c r="P149" t="s">
        <v>1172</v>
      </c>
      <c r="Q149" t="s">
        <v>751</v>
      </c>
      <c r="R149">
        <v>30</v>
      </c>
    </row>
    <row r="150" spans="1:18" x14ac:dyDescent="0.3">
      <c r="A150" t="s">
        <v>1093</v>
      </c>
      <c r="B150" t="s">
        <v>0</v>
      </c>
      <c r="C150">
        <v>29.33</v>
      </c>
      <c r="D150" t="s">
        <v>110</v>
      </c>
      <c r="E150" t="s">
        <v>44</v>
      </c>
      <c r="F150" t="s">
        <v>1094</v>
      </c>
      <c r="G150" t="s">
        <v>168</v>
      </c>
      <c r="H150" t="s">
        <v>1193</v>
      </c>
      <c r="I150" t="s">
        <v>1193</v>
      </c>
      <c r="J150">
        <v>2</v>
      </c>
      <c r="K150">
        <v>2</v>
      </c>
      <c r="L150">
        <v>2</v>
      </c>
      <c r="M150" t="s">
        <v>1094</v>
      </c>
      <c r="N150" t="s">
        <v>642</v>
      </c>
      <c r="O150">
        <v>33000</v>
      </c>
      <c r="P150" t="s">
        <v>752</v>
      </c>
      <c r="Q150" t="s">
        <v>751</v>
      </c>
      <c r="R150">
        <v>10</v>
      </c>
    </row>
    <row r="151" spans="1:18" x14ac:dyDescent="0.3">
      <c r="A151" t="s">
        <v>1095</v>
      </c>
      <c r="B151" t="s">
        <v>0</v>
      </c>
      <c r="C151">
        <v>28.6</v>
      </c>
      <c r="D151" t="s">
        <v>243</v>
      </c>
      <c r="E151" t="s">
        <v>35</v>
      </c>
      <c r="F151" t="s">
        <v>557</v>
      </c>
      <c r="G151" t="s">
        <v>74</v>
      </c>
      <c r="H151" t="s">
        <v>1185</v>
      </c>
      <c r="I151" t="s">
        <v>1211</v>
      </c>
      <c r="J151">
        <v>2</v>
      </c>
      <c r="K151">
        <v>2</v>
      </c>
      <c r="L151">
        <v>1</v>
      </c>
      <c r="M151" t="s">
        <v>557</v>
      </c>
      <c r="N151" t="s">
        <v>642</v>
      </c>
      <c r="O151">
        <v>36000</v>
      </c>
      <c r="P151" t="s">
        <v>752</v>
      </c>
      <c r="Q151" t="s">
        <v>751</v>
      </c>
      <c r="R151">
        <v>30</v>
      </c>
    </row>
    <row r="152" spans="1:18" x14ac:dyDescent="0.3">
      <c r="A152" t="s">
        <v>1096</v>
      </c>
      <c r="B152" t="s">
        <v>0</v>
      </c>
      <c r="C152">
        <v>28.3</v>
      </c>
      <c r="D152" t="s">
        <v>138</v>
      </c>
      <c r="E152" t="s">
        <v>29</v>
      </c>
      <c r="F152" t="s">
        <v>134</v>
      </c>
      <c r="G152" t="s">
        <v>276</v>
      </c>
      <c r="H152" t="s">
        <v>1198</v>
      </c>
      <c r="I152" t="s">
        <v>1181</v>
      </c>
      <c r="J152">
        <v>3</v>
      </c>
      <c r="K152">
        <v>2</v>
      </c>
      <c r="L152">
        <v>2</v>
      </c>
      <c r="M152" t="s">
        <v>134</v>
      </c>
      <c r="N152" t="s">
        <v>753</v>
      </c>
      <c r="O152">
        <v>43800</v>
      </c>
      <c r="P152" t="s">
        <v>752</v>
      </c>
      <c r="Q152" t="s">
        <v>751</v>
      </c>
      <c r="R152">
        <v>10</v>
      </c>
    </row>
    <row r="153" spans="1:18" x14ac:dyDescent="0.3">
      <c r="A153" t="s">
        <v>1097</v>
      </c>
      <c r="B153" t="s">
        <v>0</v>
      </c>
      <c r="C153">
        <v>4.79</v>
      </c>
      <c r="D153" t="s">
        <v>387</v>
      </c>
      <c r="E153" t="s">
        <v>129</v>
      </c>
      <c r="F153" t="s">
        <v>1098</v>
      </c>
      <c r="G153" t="s">
        <v>104</v>
      </c>
      <c r="H153" t="s">
        <v>1197</v>
      </c>
      <c r="I153" t="s">
        <v>1197</v>
      </c>
      <c r="J153">
        <v>1</v>
      </c>
      <c r="K153">
        <v>1</v>
      </c>
      <c r="L153">
        <v>1</v>
      </c>
      <c r="M153" t="s">
        <v>1098</v>
      </c>
      <c r="N153" t="s">
        <v>1176</v>
      </c>
      <c r="O153">
        <v>18000</v>
      </c>
      <c r="P153" t="s">
        <v>1175</v>
      </c>
      <c r="Q153" t="s">
        <v>750</v>
      </c>
      <c r="R153">
        <v>10</v>
      </c>
    </row>
    <row r="154" spans="1:18" x14ac:dyDescent="0.3">
      <c r="A154" t="s">
        <v>1099</v>
      </c>
      <c r="B154" t="s">
        <v>0</v>
      </c>
      <c r="C154">
        <v>27.65</v>
      </c>
      <c r="D154" t="s">
        <v>138</v>
      </c>
      <c r="E154" t="s">
        <v>29</v>
      </c>
      <c r="F154" t="s">
        <v>1100</v>
      </c>
      <c r="G154" t="s">
        <v>331</v>
      </c>
      <c r="H154" t="s">
        <v>1198</v>
      </c>
      <c r="I154" t="s">
        <v>1181</v>
      </c>
      <c r="J154">
        <v>3</v>
      </c>
      <c r="K154">
        <v>2</v>
      </c>
      <c r="L154">
        <v>2</v>
      </c>
      <c r="M154" t="s">
        <v>1100</v>
      </c>
      <c r="N154" t="s">
        <v>642</v>
      </c>
      <c r="O154">
        <v>28500</v>
      </c>
      <c r="P154" t="s">
        <v>752</v>
      </c>
      <c r="Q154" t="s">
        <v>751</v>
      </c>
      <c r="R154">
        <v>10</v>
      </c>
    </row>
    <row r="155" spans="1:18" x14ac:dyDescent="0.3">
      <c r="A155" t="s">
        <v>1101</v>
      </c>
      <c r="B155" t="s">
        <v>0</v>
      </c>
      <c r="C155">
        <v>49.12</v>
      </c>
      <c r="D155" t="s">
        <v>248</v>
      </c>
      <c r="E155" t="s">
        <v>27</v>
      </c>
      <c r="F155" t="s">
        <v>352</v>
      </c>
      <c r="G155" t="s">
        <v>331</v>
      </c>
      <c r="H155" t="s">
        <v>1183</v>
      </c>
      <c r="I155" t="s">
        <v>1179</v>
      </c>
      <c r="J155">
        <v>2</v>
      </c>
      <c r="K155">
        <v>2</v>
      </c>
      <c r="L155">
        <v>2</v>
      </c>
      <c r="M155" t="s">
        <v>352</v>
      </c>
      <c r="N155" t="s">
        <v>640</v>
      </c>
      <c r="O155">
        <v>28500</v>
      </c>
      <c r="P155" t="s">
        <v>1175</v>
      </c>
      <c r="Q155" t="s">
        <v>749</v>
      </c>
      <c r="R155">
        <v>20</v>
      </c>
    </row>
    <row r="156" spans="1:18" x14ac:dyDescent="0.3">
      <c r="A156" t="s">
        <v>1102</v>
      </c>
      <c r="B156" t="s">
        <v>0</v>
      </c>
      <c r="C156">
        <v>49.85</v>
      </c>
      <c r="D156" t="s">
        <v>55</v>
      </c>
      <c r="E156" t="s">
        <v>27</v>
      </c>
      <c r="F156" t="s">
        <v>352</v>
      </c>
      <c r="G156" t="s">
        <v>15</v>
      </c>
      <c r="H156" t="s">
        <v>1182</v>
      </c>
      <c r="I156" t="s">
        <v>1179</v>
      </c>
      <c r="J156">
        <v>2</v>
      </c>
      <c r="K156">
        <v>2</v>
      </c>
      <c r="L156">
        <v>2</v>
      </c>
      <c r="M156" t="s">
        <v>352</v>
      </c>
      <c r="N156" t="s">
        <v>640</v>
      </c>
      <c r="O156">
        <v>32000</v>
      </c>
      <c r="P156" t="s">
        <v>1175</v>
      </c>
      <c r="Q156" t="s">
        <v>749</v>
      </c>
      <c r="R156">
        <v>20</v>
      </c>
    </row>
    <row r="157" spans="1:18" x14ac:dyDescent="0.3">
      <c r="A157" t="s">
        <v>1103</v>
      </c>
      <c r="B157" t="s">
        <v>0</v>
      </c>
      <c r="C157">
        <v>33.4</v>
      </c>
      <c r="D157" t="s">
        <v>175</v>
      </c>
      <c r="E157" t="s">
        <v>35</v>
      </c>
      <c r="F157" t="s">
        <v>1104</v>
      </c>
      <c r="G157" t="s">
        <v>185</v>
      </c>
      <c r="H157" t="s">
        <v>1181</v>
      </c>
      <c r="I157" t="s">
        <v>1199</v>
      </c>
      <c r="J157">
        <v>2</v>
      </c>
      <c r="K157">
        <v>2</v>
      </c>
      <c r="L157">
        <v>1</v>
      </c>
      <c r="M157" t="s">
        <v>1219</v>
      </c>
      <c r="N157" t="s">
        <v>642</v>
      </c>
      <c r="O157">
        <v>20000</v>
      </c>
      <c r="P157" t="s">
        <v>752</v>
      </c>
      <c r="Q157" t="s">
        <v>749</v>
      </c>
      <c r="R157">
        <v>20</v>
      </c>
    </row>
    <row r="158" spans="1:18" x14ac:dyDescent="0.3">
      <c r="A158" t="s">
        <v>1105</v>
      </c>
      <c r="B158" t="s">
        <v>0</v>
      </c>
      <c r="C158">
        <v>71.41</v>
      </c>
      <c r="D158" t="s">
        <v>293</v>
      </c>
      <c r="E158" t="s">
        <v>40</v>
      </c>
      <c r="F158" t="s">
        <v>1106</v>
      </c>
      <c r="G158" t="s">
        <v>115</v>
      </c>
      <c r="H158" t="s">
        <v>1198</v>
      </c>
      <c r="I158" t="s">
        <v>1203</v>
      </c>
      <c r="J158">
        <v>4</v>
      </c>
      <c r="K158">
        <v>2</v>
      </c>
      <c r="L158">
        <v>2</v>
      </c>
      <c r="M158" t="s">
        <v>1106</v>
      </c>
      <c r="N158" t="s">
        <v>639</v>
      </c>
      <c r="O158">
        <v>30000</v>
      </c>
      <c r="P158" t="s">
        <v>752</v>
      </c>
      <c r="Q158" t="s">
        <v>749</v>
      </c>
      <c r="R158">
        <v>10</v>
      </c>
    </row>
    <row r="159" spans="1:18" x14ac:dyDescent="0.3">
      <c r="A159" t="s">
        <v>1107</v>
      </c>
      <c r="B159" t="s">
        <v>0</v>
      </c>
      <c r="C159">
        <v>40.68</v>
      </c>
      <c r="D159" t="s">
        <v>280</v>
      </c>
      <c r="E159" t="s">
        <v>180</v>
      </c>
      <c r="F159" t="s">
        <v>607</v>
      </c>
      <c r="G159" t="s">
        <v>22</v>
      </c>
      <c r="H159" t="s">
        <v>1179</v>
      </c>
      <c r="I159" t="s">
        <v>1179</v>
      </c>
      <c r="J159">
        <v>2</v>
      </c>
      <c r="K159">
        <v>2</v>
      </c>
      <c r="L159">
        <v>1</v>
      </c>
      <c r="M159" t="s">
        <v>607</v>
      </c>
      <c r="N159" t="s">
        <v>642</v>
      </c>
      <c r="O159">
        <v>45000</v>
      </c>
      <c r="P159" t="s">
        <v>752</v>
      </c>
      <c r="Q159" t="s">
        <v>749</v>
      </c>
      <c r="R159">
        <v>20</v>
      </c>
    </row>
    <row r="160" spans="1:18" x14ac:dyDescent="0.3">
      <c r="A160" t="s">
        <v>496</v>
      </c>
      <c r="B160" t="s">
        <v>0</v>
      </c>
      <c r="C160">
        <v>25.11</v>
      </c>
      <c r="D160" t="s">
        <v>173</v>
      </c>
      <c r="E160" t="s">
        <v>95</v>
      </c>
      <c r="F160" t="s">
        <v>497</v>
      </c>
      <c r="G160" t="s">
        <v>18</v>
      </c>
      <c r="H160" t="s">
        <v>1198</v>
      </c>
      <c r="I160" t="s">
        <v>1187</v>
      </c>
      <c r="J160">
        <v>3</v>
      </c>
      <c r="K160">
        <v>2</v>
      </c>
      <c r="L160">
        <v>1</v>
      </c>
      <c r="M160" t="s">
        <v>497</v>
      </c>
      <c r="N160" t="s">
        <v>642</v>
      </c>
      <c r="O160">
        <v>25000</v>
      </c>
      <c r="P160" t="s">
        <v>752</v>
      </c>
      <c r="Q160" t="s">
        <v>751</v>
      </c>
      <c r="R160">
        <v>10</v>
      </c>
    </row>
    <row r="161" spans="1:18" x14ac:dyDescent="0.3">
      <c r="A161" t="s">
        <v>1108</v>
      </c>
      <c r="B161" t="s">
        <v>0</v>
      </c>
      <c r="C161">
        <v>58.5</v>
      </c>
      <c r="D161" t="s">
        <v>308</v>
      </c>
      <c r="E161" t="s">
        <v>1109</v>
      </c>
      <c r="F161" t="s">
        <v>1110</v>
      </c>
      <c r="G161" t="s">
        <v>115</v>
      </c>
      <c r="H161" t="s">
        <v>1220</v>
      </c>
      <c r="I161" t="s">
        <v>1181</v>
      </c>
      <c r="J161">
        <v>4</v>
      </c>
      <c r="K161">
        <v>3</v>
      </c>
      <c r="L161">
        <v>2</v>
      </c>
      <c r="M161" t="s">
        <v>1110</v>
      </c>
      <c r="N161" t="s">
        <v>1173</v>
      </c>
      <c r="O161">
        <v>30000</v>
      </c>
      <c r="P161" t="s">
        <v>1172</v>
      </c>
      <c r="Q161" t="s">
        <v>749</v>
      </c>
      <c r="R161">
        <v>10</v>
      </c>
    </row>
    <row r="162" spans="1:18" x14ac:dyDescent="0.3">
      <c r="A162" t="s">
        <v>215</v>
      </c>
      <c r="B162" t="s">
        <v>0</v>
      </c>
      <c r="C162">
        <v>71.7</v>
      </c>
      <c r="D162" t="s">
        <v>101</v>
      </c>
      <c r="E162" t="s">
        <v>40</v>
      </c>
      <c r="F162" t="s">
        <v>73</v>
      </c>
      <c r="G162" t="s">
        <v>216</v>
      </c>
      <c r="H162" t="s">
        <v>1188</v>
      </c>
      <c r="I162" t="s">
        <v>1205</v>
      </c>
      <c r="J162">
        <v>4</v>
      </c>
      <c r="K162">
        <v>2</v>
      </c>
      <c r="L162">
        <v>2</v>
      </c>
      <c r="M162" t="s">
        <v>73</v>
      </c>
      <c r="N162" t="s">
        <v>753</v>
      </c>
      <c r="O162">
        <v>89000</v>
      </c>
      <c r="P162" t="s">
        <v>752</v>
      </c>
      <c r="Q162" t="s">
        <v>749</v>
      </c>
      <c r="R162">
        <v>10</v>
      </c>
    </row>
    <row r="163" spans="1:18" x14ac:dyDescent="0.3">
      <c r="A163" t="s">
        <v>1111</v>
      </c>
      <c r="B163" t="s">
        <v>0</v>
      </c>
      <c r="C163">
        <v>12.71</v>
      </c>
      <c r="D163" t="s">
        <v>564</v>
      </c>
      <c r="E163" t="s">
        <v>30</v>
      </c>
      <c r="F163" t="s">
        <v>425</v>
      </c>
      <c r="G163" t="s">
        <v>136</v>
      </c>
      <c r="H163" t="s">
        <v>1208</v>
      </c>
      <c r="I163" t="s">
        <v>1211</v>
      </c>
      <c r="J163">
        <v>1</v>
      </c>
      <c r="K163">
        <v>1</v>
      </c>
      <c r="L163">
        <v>1</v>
      </c>
      <c r="M163" t="s">
        <v>425</v>
      </c>
      <c r="N163" t="s">
        <v>639</v>
      </c>
      <c r="O163">
        <v>19000</v>
      </c>
      <c r="P163" t="s">
        <v>752</v>
      </c>
      <c r="Q163" t="s">
        <v>750</v>
      </c>
      <c r="R163">
        <v>30</v>
      </c>
    </row>
    <row r="164" spans="1:18" x14ac:dyDescent="0.3">
      <c r="A164" t="s">
        <v>1112</v>
      </c>
      <c r="B164" t="s">
        <v>0</v>
      </c>
      <c r="C164">
        <v>12.7</v>
      </c>
      <c r="D164" t="s">
        <v>564</v>
      </c>
      <c r="E164" t="s">
        <v>30</v>
      </c>
      <c r="F164" t="s">
        <v>425</v>
      </c>
      <c r="G164" t="s">
        <v>239</v>
      </c>
      <c r="H164" t="s">
        <v>1208</v>
      </c>
      <c r="I164" t="s">
        <v>1211</v>
      </c>
      <c r="J164">
        <v>1</v>
      </c>
      <c r="K164">
        <v>1</v>
      </c>
      <c r="L164">
        <v>1</v>
      </c>
      <c r="M164" t="s">
        <v>425</v>
      </c>
      <c r="N164" t="s">
        <v>639</v>
      </c>
      <c r="O164">
        <v>18500</v>
      </c>
      <c r="P164" t="s">
        <v>752</v>
      </c>
      <c r="Q164" t="s">
        <v>750</v>
      </c>
      <c r="R164">
        <v>30</v>
      </c>
    </row>
    <row r="165" spans="1:18" x14ac:dyDescent="0.3">
      <c r="A165" t="s">
        <v>1113</v>
      </c>
      <c r="B165" t="s">
        <v>0</v>
      </c>
      <c r="C165">
        <v>39.200000000000003</v>
      </c>
      <c r="D165" t="s">
        <v>302</v>
      </c>
      <c r="E165" t="s">
        <v>40</v>
      </c>
      <c r="F165" t="s">
        <v>1114</v>
      </c>
      <c r="G165" t="s">
        <v>18</v>
      </c>
      <c r="H165" t="s">
        <v>1187</v>
      </c>
      <c r="I165" t="s">
        <v>1190</v>
      </c>
      <c r="J165">
        <v>4</v>
      </c>
      <c r="K165">
        <v>2</v>
      </c>
      <c r="L165">
        <v>2</v>
      </c>
      <c r="M165" t="s">
        <v>1114</v>
      </c>
      <c r="N165" t="s">
        <v>640</v>
      </c>
      <c r="O165">
        <v>25000</v>
      </c>
      <c r="P165" t="s">
        <v>1175</v>
      </c>
      <c r="Q165" t="s">
        <v>749</v>
      </c>
      <c r="R165">
        <v>20</v>
      </c>
    </row>
    <row r="166" spans="1:18" x14ac:dyDescent="0.3">
      <c r="A166" t="s">
        <v>1115</v>
      </c>
      <c r="B166" t="s">
        <v>0</v>
      </c>
      <c r="C166">
        <v>29.41</v>
      </c>
      <c r="D166" t="s">
        <v>83</v>
      </c>
      <c r="E166" t="s">
        <v>35</v>
      </c>
      <c r="F166" t="s">
        <v>507</v>
      </c>
      <c r="G166" t="s">
        <v>115</v>
      </c>
      <c r="H166" t="s">
        <v>1194</v>
      </c>
      <c r="I166" t="s">
        <v>1179</v>
      </c>
      <c r="J166">
        <v>2</v>
      </c>
      <c r="K166">
        <v>2</v>
      </c>
      <c r="L166">
        <v>1</v>
      </c>
      <c r="M166" t="s">
        <v>507</v>
      </c>
      <c r="N166" t="s">
        <v>642</v>
      </c>
      <c r="O166">
        <v>30000</v>
      </c>
      <c r="P166" t="s">
        <v>752</v>
      </c>
      <c r="Q166" t="s">
        <v>751</v>
      </c>
      <c r="R166">
        <v>20</v>
      </c>
    </row>
    <row r="167" spans="1:18" x14ac:dyDescent="0.3">
      <c r="A167" t="s">
        <v>1116</v>
      </c>
      <c r="B167" t="s">
        <v>0</v>
      </c>
      <c r="C167">
        <v>32.51</v>
      </c>
      <c r="D167" t="s">
        <v>76</v>
      </c>
      <c r="E167" t="s">
        <v>35</v>
      </c>
      <c r="F167" t="s">
        <v>1117</v>
      </c>
      <c r="G167" t="s">
        <v>54</v>
      </c>
      <c r="H167" t="s">
        <v>1203</v>
      </c>
      <c r="I167" t="s">
        <v>1179</v>
      </c>
      <c r="J167">
        <v>2</v>
      </c>
      <c r="K167">
        <v>2</v>
      </c>
      <c r="L167">
        <v>1</v>
      </c>
      <c r="M167" t="s">
        <v>1117</v>
      </c>
      <c r="N167" t="s">
        <v>1173</v>
      </c>
      <c r="O167">
        <v>28000</v>
      </c>
      <c r="P167" t="s">
        <v>1172</v>
      </c>
      <c r="Q167" t="s">
        <v>749</v>
      </c>
      <c r="R167">
        <v>20</v>
      </c>
    </row>
    <row r="168" spans="1:18" x14ac:dyDescent="0.3">
      <c r="A168" t="s">
        <v>1118</v>
      </c>
      <c r="B168" t="s">
        <v>0</v>
      </c>
      <c r="C168">
        <v>48.42</v>
      </c>
      <c r="D168" t="s">
        <v>1119</v>
      </c>
      <c r="E168" t="s">
        <v>40</v>
      </c>
      <c r="F168" t="s">
        <v>1120</v>
      </c>
      <c r="G168" t="s">
        <v>14</v>
      </c>
      <c r="H168" t="s">
        <v>1203</v>
      </c>
      <c r="I168" t="s">
        <v>1212</v>
      </c>
      <c r="J168">
        <v>4</v>
      </c>
      <c r="K168">
        <v>2</v>
      </c>
      <c r="L168">
        <v>2</v>
      </c>
      <c r="M168" t="s">
        <v>1120</v>
      </c>
      <c r="N168" t="s">
        <v>643</v>
      </c>
      <c r="O168">
        <v>40000</v>
      </c>
      <c r="P168" t="s">
        <v>752</v>
      </c>
      <c r="Q168" t="s">
        <v>749</v>
      </c>
      <c r="R168">
        <v>30</v>
      </c>
    </row>
    <row r="169" spans="1:18" x14ac:dyDescent="0.3">
      <c r="A169" t="s">
        <v>1121</v>
      </c>
      <c r="B169" t="s">
        <v>0</v>
      </c>
      <c r="C169">
        <v>37.35</v>
      </c>
      <c r="D169" t="s">
        <v>578</v>
      </c>
      <c r="E169" t="s">
        <v>29</v>
      </c>
      <c r="F169" t="s">
        <v>1122</v>
      </c>
      <c r="G169" t="s">
        <v>14</v>
      </c>
      <c r="H169" t="s">
        <v>1212</v>
      </c>
      <c r="I169" t="s">
        <v>1212</v>
      </c>
      <c r="J169">
        <v>3</v>
      </c>
      <c r="K169">
        <v>2</v>
      </c>
      <c r="L169">
        <v>2</v>
      </c>
      <c r="M169" t="s">
        <v>1221</v>
      </c>
      <c r="N169" t="s">
        <v>643</v>
      </c>
      <c r="O169">
        <v>40000</v>
      </c>
      <c r="P169" t="s">
        <v>752</v>
      </c>
      <c r="Q169" t="s">
        <v>749</v>
      </c>
      <c r="R169">
        <v>30</v>
      </c>
    </row>
    <row r="170" spans="1:18" x14ac:dyDescent="0.3">
      <c r="A170" t="s">
        <v>1123</v>
      </c>
      <c r="B170" t="s">
        <v>0</v>
      </c>
      <c r="C170">
        <v>49.29</v>
      </c>
      <c r="D170" t="s">
        <v>1124</v>
      </c>
      <c r="E170" t="s">
        <v>29</v>
      </c>
      <c r="F170" t="s">
        <v>554</v>
      </c>
      <c r="G170" t="s">
        <v>112</v>
      </c>
      <c r="H170" t="s">
        <v>1194</v>
      </c>
      <c r="I170" t="s">
        <v>1199</v>
      </c>
      <c r="J170">
        <v>3</v>
      </c>
      <c r="K170">
        <v>2</v>
      </c>
      <c r="L170">
        <v>2</v>
      </c>
      <c r="M170" t="s">
        <v>554</v>
      </c>
      <c r="N170" t="s">
        <v>1173</v>
      </c>
      <c r="O170">
        <v>35000</v>
      </c>
      <c r="P170" t="s">
        <v>1172</v>
      </c>
      <c r="Q170" t="s">
        <v>749</v>
      </c>
      <c r="R170">
        <v>20</v>
      </c>
    </row>
    <row r="171" spans="1:18" x14ac:dyDescent="0.3">
      <c r="A171" t="s">
        <v>1125</v>
      </c>
      <c r="B171" t="s">
        <v>0</v>
      </c>
      <c r="C171">
        <v>49.29</v>
      </c>
      <c r="D171" t="s">
        <v>210</v>
      </c>
      <c r="E171" t="s">
        <v>29</v>
      </c>
      <c r="F171" t="s">
        <v>554</v>
      </c>
      <c r="G171" t="s">
        <v>22</v>
      </c>
      <c r="H171" t="s">
        <v>1190</v>
      </c>
      <c r="I171" t="s">
        <v>1199</v>
      </c>
      <c r="J171">
        <v>3</v>
      </c>
      <c r="K171">
        <v>2</v>
      </c>
      <c r="L171">
        <v>2</v>
      </c>
      <c r="M171" t="s">
        <v>554</v>
      </c>
      <c r="N171" t="s">
        <v>1173</v>
      </c>
      <c r="O171">
        <v>45000</v>
      </c>
      <c r="P171" t="s">
        <v>1172</v>
      </c>
      <c r="Q171" t="s">
        <v>749</v>
      </c>
      <c r="R171">
        <v>20</v>
      </c>
    </row>
    <row r="172" spans="1:18" x14ac:dyDescent="0.3">
      <c r="A172" t="s">
        <v>1126</v>
      </c>
      <c r="B172" t="s">
        <v>0</v>
      </c>
      <c r="C172">
        <v>36.840000000000003</v>
      </c>
      <c r="D172" t="s">
        <v>217</v>
      </c>
      <c r="E172" t="s">
        <v>95</v>
      </c>
      <c r="F172" t="s">
        <v>1127</v>
      </c>
      <c r="G172" t="s">
        <v>1128</v>
      </c>
      <c r="H172" t="s">
        <v>1198</v>
      </c>
      <c r="I172" t="s">
        <v>1185</v>
      </c>
      <c r="J172">
        <v>3</v>
      </c>
      <c r="K172">
        <v>2</v>
      </c>
      <c r="L172">
        <v>1</v>
      </c>
      <c r="M172" t="s">
        <v>1222</v>
      </c>
      <c r="N172" t="s">
        <v>753</v>
      </c>
      <c r="O172">
        <v>68300</v>
      </c>
      <c r="P172" t="s">
        <v>752</v>
      </c>
      <c r="Q172" t="s">
        <v>749</v>
      </c>
      <c r="R172">
        <v>20</v>
      </c>
    </row>
    <row r="173" spans="1:18" x14ac:dyDescent="0.3">
      <c r="A173" t="s">
        <v>1129</v>
      </c>
      <c r="B173" t="s">
        <v>0</v>
      </c>
      <c r="C173">
        <v>59.54</v>
      </c>
      <c r="D173" t="s">
        <v>664</v>
      </c>
      <c r="E173" t="s">
        <v>29</v>
      </c>
      <c r="F173" t="s">
        <v>1130</v>
      </c>
      <c r="G173" t="s">
        <v>100</v>
      </c>
      <c r="H173" t="s">
        <v>1178</v>
      </c>
      <c r="I173" t="s">
        <v>1186</v>
      </c>
      <c r="J173">
        <v>3</v>
      </c>
      <c r="K173">
        <v>2</v>
      </c>
      <c r="L173">
        <v>2</v>
      </c>
      <c r="M173" t="s">
        <v>1130</v>
      </c>
      <c r="N173" t="s">
        <v>1173</v>
      </c>
      <c r="O173">
        <v>41000</v>
      </c>
      <c r="P173" t="s">
        <v>1172</v>
      </c>
      <c r="Q173" t="s">
        <v>749</v>
      </c>
      <c r="R173">
        <v>30</v>
      </c>
    </row>
    <row r="174" spans="1:18" x14ac:dyDescent="0.3">
      <c r="A174" t="s">
        <v>1131</v>
      </c>
      <c r="B174" t="s">
        <v>0</v>
      </c>
      <c r="C174">
        <v>45.01</v>
      </c>
      <c r="D174" t="s">
        <v>55</v>
      </c>
      <c r="E174" t="s">
        <v>29</v>
      </c>
      <c r="F174" t="s">
        <v>476</v>
      </c>
      <c r="G174" t="s">
        <v>54</v>
      </c>
      <c r="H174" t="s">
        <v>1182</v>
      </c>
      <c r="I174" t="s">
        <v>1179</v>
      </c>
      <c r="J174">
        <v>3</v>
      </c>
      <c r="K174">
        <v>2</v>
      </c>
      <c r="L174">
        <v>2</v>
      </c>
      <c r="M174" t="s">
        <v>476</v>
      </c>
      <c r="N174" t="s">
        <v>640</v>
      </c>
      <c r="O174">
        <v>28000</v>
      </c>
      <c r="P174" t="s">
        <v>1175</v>
      </c>
      <c r="Q174" t="s">
        <v>749</v>
      </c>
      <c r="R174">
        <v>20</v>
      </c>
    </row>
    <row r="175" spans="1:18" x14ac:dyDescent="0.3">
      <c r="A175" t="s">
        <v>689</v>
      </c>
      <c r="B175" t="s">
        <v>0</v>
      </c>
      <c r="C175">
        <v>41.83</v>
      </c>
      <c r="D175" t="s">
        <v>167</v>
      </c>
      <c r="E175" t="s">
        <v>29</v>
      </c>
      <c r="F175" t="s">
        <v>438</v>
      </c>
      <c r="G175" t="s">
        <v>185</v>
      </c>
      <c r="H175" t="s">
        <v>1193</v>
      </c>
      <c r="I175" t="s">
        <v>1178</v>
      </c>
      <c r="J175">
        <v>3</v>
      </c>
      <c r="K175">
        <v>2</v>
      </c>
      <c r="L175">
        <v>2</v>
      </c>
      <c r="M175" t="s">
        <v>438</v>
      </c>
      <c r="N175" t="s">
        <v>1173</v>
      </c>
      <c r="O175">
        <v>20000</v>
      </c>
      <c r="P175" t="s">
        <v>1172</v>
      </c>
      <c r="Q175" t="s">
        <v>749</v>
      </c>
      <c r="R175">
        <v>20</v>
      </c>
    </row>
    <row r="176" spans="1:18" x14ac:dyDescent="0.3">
      <c r="A176" t="s">
        <v>1132</v>
      </c>
      <c r="B176" t="s">
        <v>0</v>
      </c>
      <c r="C176">
        <v>80.209999999999994</v>
      </c>
      <c r="D176" t="s">
        <v>605</v>
      </c>
      <c r="E176" t="s">
        <v>40</v>
      </c>
      <c r="F176" t="s">
        <v>549</v>
      </c>
      <c r="G176" t="s">
        <v>14</v>
      </c>
      <c r="H176" t="s">
        <v>1179</v>
      </c>
      <c r="I176" t="s">
        <v>1223</v>
      </c>
      <c r="J176">
        <v>4</v>
      </c>
      <c r="K176">
        <v>2</v>
      </c>
      <c r="L176">
        <v>2</v>
      </c>
      <c r="M176" t="s">
        <v>549</v>
      </c>
      <c r="N176" t="s">
        <v>1176</v>
      </c>
      <c r="O176">
        <v>40000</v>
      </c>
      <c r="P176" t="s">
        <v>1175</v>
      </c>
      <c r="Q176" t="s">
        <v>749</v>
      </c>
      <c r="R176">
        <v>30</v>
      </c>
    </row>
    <row r="177" spans="1:18" x14ac:dyDescent="0.3">
      <c r="A177" t="s">
        <v>1133</v>
      </c>
      <c r="B177" t="s">
        <v>0</v>
      </c>
      <c r="C177">
        <v>40.53</v>
      </c>
      <c r="D177" t="s">
        <v>237</v>
      </c>
      <c r="E177" t="s">
        <v>29</v>
      </c>
      <c r="F177" t="s">
        <v>1134</v>
      </c>
      <c r="G177" t="s">
        <v>203</v>
      </c>
      <c r="H177" t="s">
        <v>1194</v>
      </c>
      <c r="I177" t="s">
        <v>1210</v>
      </c>
      <c r="J177">
        <v>3</v>
      </c>
      <c r="K177">
        <v>2</v>
      </c>
      <c r="L177">
        <v>2</v>
      </c>
      <c r="M177" t="s">
        <v>1134</v>
      </c>
      <c r="N177" t="s">
        <v>642</v>
      </c>
      <c r="O177">
        <v>37000</v>
      </c>
      <c r="P177" t="s">
        <v>752</v>
      </c>
      <c r="Q177" t="s">
        <v>749</v>
      </c>
      <c r="R177">
        <v>20</v>
      </c>
    </row>
    <row r="178" spans="1:18" x14ac:dyDescent="0.3">
      <c r="A178" t="s">
        <v>1135</v>
      </c>
      <c r="B178" t="s">
        <v>0</v>
      </c>
      <c r="C178">
        <v>63.1</v>
      </c>
      <c r="D178" t="s">
        <v>579</v>
      </c>
      <c r="E178" t="s">
        <v>93</v>
      </c>
      <c r="F178" t="s">
        <v>1136</v>
      </c>
      <c r="G178" t="s">
        <v>285</v>
      </c>
      <c r="H178" t="s">
        <v>1196</v>
      </c>
      <c r="I178" t="s">
        <v>1211</v>
      </c>
      <c r="J178">
        <v>4</v>
      </c>
      <c r="K178">
        <v>2</v>
      </c>
      <c r="L178">
        <v>3</v>
      </c>
      <c r="M178" t="s">
        <v>1136</v>
      </c>
      <c r="N178" t="s">
        <v>642</v>
      </c>
      <c r="O178">
        <v>69800</v>
      </c>
      <c r="P178" t="s">
        <v>752</v>
      </c>
      <c r="Q178" t="s">
        <v>749</v>
      </c>
      <c r="R178">
        <v>30</v>
      </c>
    </row>
    <row r="179" spans="1:18" x14ac:dyDescent="0.3">
      <c r="A179" t="s">
        <v>1137</v>
      </c>
      <c r="B179" t="s">
        <v>0</v>
      </c>
      <c r="C179">
        <v>42.65</v>
      </c>
      <c r="D179" t="s">
        <v>579</v>
      </c>
      <c r="E179" t="s">
        <v>29</v>
      </c>
      <c r="F179" t="s">
        <v>1136</v>
      </c>
      <c r="G179" t="s">
        <v>1138</v>
      </c>
      <c r="H179" t="s">
        <v>1196</v>
      </c>
      <c r="I179" t="s">
        <v>1211</v>
      </c>
      <c r="J179">
        <v>3</v>
      </c>
      <c r="K179">
        <v>2</v>
      </c>
      <c r="L179">
        <v>2</v>
      </c>
      <c r="M179" t="s">
        <v>1136</v>
      </c>
      <c r="N179" t="s">
        <v>642</v>
      </c>
      <c r="O179">
        <v>46800</v>
      </c>
      <c r="P179" t="s">
        <v>752</v>
      </c>
      <c r="Q179" t="s">
        <v>749</v>
      </c>
      <c r="R179">
        <v>30</v>
      </c>
    </row>
    <row r="180" spans="1:18" x14ac:dyDescent="0.3">
      <c r="A180" t="s">
        <v>1139</v>
      </c>
      <c r="B180" t="s">
        <v>0</v>
      </c>
      <c r="C180">
        <v>9.1300000000000008</v>
      </c>
      <c r="D180" t="s">
        <v>164</v>
      </c>
      <c r="E180" t="s">
        <v>56</v>
      </c>
      <c r="F180" t="s">
        <v>130</v>
      </c>
      <c r="G180" t="s">
        <v>116</v>
      </c>
      <c r="H180" t="s">
        <v>1188</v>
      </c>
      <c r="I180" t="s">
        <v>1204</v>
      </c>
      <c r="J180" t="s">
        <v>1200</v>
      </c>
      <c r="K180">
        <v>1</v>
      </c>
      <c r="L180">
        <v>1</v>
      </c>
      <c r="M180" t="s">
        <v>130</v>
      </c>
      <c r="N180" t="s">
        <v>753</v>
      </c>
      <c r="O180">
        <v>23000</v>
      </c>
      <c r="P180" t="s">
        <v>752</v>
      </c>
      <c r="Q180" t="s">
        <v>750</v>
      </c>
      <c r="R180">
        <v>10</v>
      </c>
    </row>
    <row r="181" spans="1:18" x14ac:dyDescent="0.3">
      <c r="A181" t="s">
        <v>1140</v>
      </c>
      <c r="B181" t="s">
        <v>0</v>
      </c>
      <c r="C181">
        <v>55.62</v>
      </c>
      <c r="D181" t="s">
        <v>313</v>
      </c>
      <c r="E181" t="s">
        <v>29</v>
      </c>
      <c r="F181" t="s">
        <v>414</v>
      </c>
      <c r="G181" t="s">
        <v>228</v>
      </c>
      <c r="H181" t="s">
        <v>1189</v>
      </c>
      <c r="I181" t="s">
        <v>1209</v>
      </c>
      <c r="J181">
        <v>3</v>
      </c>
      <c r="K181">
        <v>2</v>
      </c>
      <c r="L181">
        <v>2</v>
      </c>
      <c r="M181" t="s">
        <v>414</v>
      </c>
      <c r="N181" t="s">
        <v>644</v>
      </c>
      <c r="O181">
        <v>34000</v>
      </c>
      <c r="P181" t="s">
        <v>752</v>
      </c>
      <c r="Q181" t="s">
        <v>749</v>
      </c>
      <c r="R181">
        <v>30</v>
      </c>
    </row>
    <row r="182" spans="1:18" x14ac:dyDescent="0.3">
      <c r="A182" t="s">
        <v>1141</v>
      </c>
      <c r="B182" t="s">
        <v>0</v>
      </c>
      <c r="C182">
        <v>35.94</v>
      </c>
      <c r="D182" t="s">
        <v>37</v>
      </c>
      <c r="E182" t="s">
        <v>194</v>
      </c>
      <c r="F182" t="s">
        <v>1142</v>
      </c>
      <c r="G182" t="s">
        <v>15</v>
      </c>
      <c r="H182" t="s">
        <v>1181</v>
      </c>
      <c r="I182" t="s">
        <v>1181</v>
      </c>
      <c r="J182">
        <v>3</v>
      </c>
      <c r="K182">
        <v>2</v>
      </c>
      <c r="L182">
        <v>5</v>
      </c>
      <c r="M182" t="s">
        <v>1142</v>
      </c>
      <c r="N182" t="s">
        <v>753</v>
      </c>
      <c r="O182">
        <v>32000</v>
      </c>
      <c r="P182" t="s">
        <v>752</v>
      </c>
      <c r="Q182" t="s">
        <v>749</v>
      </c>
      <c r="R182">
        <v>10</v>
      </c>
    </row>
    <row r="183" spans="1:18" x14ac:dyDescent="0.3">
      <c r="A183" t="s">
        <v>1143</v>
      </c>
      <c r="B183" t="s">
        <v>0</v>
      </c>
      <c r="C183">
        <v>35.79</v>
      </c>
      <c r="D183" t="s">
        <v>131</v>
      </c>
      <c r="E183" t="s">
        <v>72</v>
      </c>
      <c r="F183" t="s">
        <v>1144</v>
      </c>
      <c r="G183" t="s">
        <v>168</v>
      </c>
      <c r="H183" t="s">
        <v>1188</v>
      </c>
      <c r="I183" t="s">
        <v>1178</v>
      </c>
      <c r="J183">
        <v>2</v>
      </c>
      <c r="K183">
        <v>1</v>
      </c>
      <c r="L183">
        <v>1</v>
      </c>
      <c r="M183" t="s">
        <v>1144</v>
      </c>
      <c r="N183" t="s">
        <v>642</v>
      </c>
      <c r="O183">
        <v>33000</v>
      </c>
      <c r="P183" t="s">
        <v>752</v>
      </c>
      <c r="Q183" t="s">
        <v>749</v>
      </c>
      <c r="R183">
        <v>20</v>
      </c>
    </row>
    <row r="184" spans="1:18" x14ac:dyDescent="0.3">
      <c r="A184" t="s">
        <v>1145</v>
      </c>
      <c r="B184" t="s">
        <v>0</v>
      </c>
      <c r="C184">
        <v>58.42</v>
      </c>
      <c r="D184" t="s">
        <v>271</v>
      </c>
      <c r="E184" t="s">
        <v>27</v>
      </c>
      <c r="F184" t="s">
        <v>1146</v>
      </c>
      <c r="G184" t="s">
        <v>259</v>
      </c>
      <c r="H184" t="s">
        <v>1204</v>
      </c>
      <c r="I184" t="s">
        <v>1209</v>
      </c>
      <c r="J184">
        <v>2</v>
      </c>
      <c r="K184">
        <v>2</v>
      </c>
      <c r="L184">
        <v>2</v>
      </c>
      <c r="M184" t="s">
        <v>1146</v>
      </c>
      <c r="N184" t="s">
        <v>753</v>
      </c>
      <c r="O184">
        <v>69000</v>
      </c>
      <c r="P184" t="s">
        <v>752</v>
      </c>
      <c r="Q184" t="s">
        <v>749</v>
      </c>
      <c r="R184">
        <v>30</v>
      </c>
    </row>
    <row r="185" spans="1:18" x14ac:dyDescent="0.3">
      <c r="A185" t="s">
        <v>1147</v>
      </c>
      <c r="B185" t="s">
        <v>0</v>
      </c>
      <c r="C185">
        <v>42.97</v>
      </c>
      <c r="D185" t="s">
        <v>444</v>
      </c>
      <c r="E185" t="s">
        <v>29</v>
      </c>
      <c r="F185" t="s">
        <v>1148</v>
      </c>
      <c r="G185" t="s">
        <v>239</v>
      </c>
      <c r="H185" t="s">
        <v>1189</v>
      </c>
      <c r="I185" t="s">
        <v>1218</v>
      </c>
      <c r="J185">
        <v>3</v>
      </c>
      <c r="K185">
        <v>2</v>
      </c>
      <c r="L185">
        <v>2</v>
      </c>
      <c r="M185" t="s">
        <v>1148</v>
      </c>
      <c r="N185" t="s">
        <v>640</v>
      </c>
      <c r="O185">
        <v>18500</v>
      </c>
      <c r="P185" t="s">
        <v>1175</v>
      </c>
      <c r="Q185" t="s">
        <v>749</v>
      </c>
      <c r="R185">
        <v>30</v>
      </c>
    </row>
    <row r="186" spans="1:18" x14ac:dyDescent="0.3">
      <c r="A186" t="s">
        <v>1149</v>
      </c>
      <c r="B186" t="s">
        <v>0</v>
      </c>
      <c r="C186">
        <v>38.89</v>
      </c>
      <c r="D186" t="s">
        <v>252</v>
      </c>
      <c r="E186" t="s">
        <v>29</v>
      </c>
      <c r="F186" t="s">
        <v>1150</v>
      </c>
      <c r="G186" t="s">
        <v>273</v>
      </c>
      <c r="H186" t="s">
        <v>1181</v>
      </c>
      <c r="I186" t="s">
        <v>1183</v>
      </c>
      <c r="J186">
        <v>3</v>
      </c>
      <c r="K186">
        <v>2</v>
      </c>
      <c r="L186">
        <v>2</v>
      </c>
      <c r="M186" t="s">
        <v>1150</v>
      </c>
      <c r="N186" t="s">
        <v>1176</v>
      </c>
      <c r="O186">
        <v>26000</v>
      </c>
      <c r="P186" t="s">
        <v>1175</v>
      </c>
      <c r="Q186" t="s">
        <v>749</v>
      </c>
      <c r="R186">
        <v>20</v>
      </c>
    </row>
    <row r="187" spans="1:18" x14ac:dyDescent="0.3">
      <c r="A187" t="s">
        <v>1151</v>
      </c>
      <c r="B187" t="s">
        <v>0</v>
      </c>
      <c r="C187">
        <v>24.43</v>
      </c>
      <c r="D187" t="s">
        <v>173</v>
      </c>
      <c r="E187" t="s">
        <v>95</v>
      </c>
      <c r="F187" t="s">
        <v>1152</v>
      </c>
      <c r="G187" t="s">
        <v>116</v>
      </c>
      <c r="H187" t="s">
        <v>1198</v>
      </c>
      <c r="I187" t="s">
        <v>1187</v>
      </c>
      <c r="J187">
        <v>3</v>
      </c>
      <c r="K187">
        <v>2</v>
      </c>
      <c r="L187">
        <v>1</v>
      </c>
      <c r="M187" t="s">
        <v>1152</v>
      </c>
      <c r="N187" t="s">
        <v>753</v>
      </c>
      <c r="O187">
        <v>23000</v>
      </c>
      <c r="P187" t="s">
        <v>752</v>
      </c>
      <c r="Q187" t="s">
        <v>751</v>
      </c>
      <c r="R187">
        <v>10</v>
      </c>
    </row>
    <row r="188" spans="1:18" x14ac:dyDescent="0.3">
      <c r="A188" t="s">
        <v>1153</v>
      </c>
      <c r="B188" t="s">
        <v>0</v>
      </c>
      <c r="C188">
        <v>38.39</v>
      </c>
      <c r="D188" t="s">
        <v>51</v>
      </c>
      <c r="E188" t="s">
        <v>35</v>
      </c>
      <c r="F188" t="s">
        <v>400</v>
      </c>
      <c r="G188" t="s">
        <v>116</v>
      </c>
      <c r="H188" t="s">
        <v>1185</v>
      </c>
      <c r="I188" t="s">
        <v>1179</v>
      </c>
      <c r="J188">
        <v>2</v>
      </c>
      <c r="K188">
        <v>2</v>
      </c>
      <c r="L188">
        <v>1</v>
      </c>
      <c r="M188" t="s">
        <v>400</v>
      </c>
      <c r="N188" t="s">
        <v>639</v>
      </c>
      <c r="O188">
        <v>23000</v>
      </c>
      <c r="P188" t="s">
        <v>752</v>
      </c>
      <c r="Q188" t="s">
        <v>749</v>
      </c>
      <c r="R188">
        <v>20</v>
      </c>
    </row>
    <row r="189" spans="1:18" x14ac:dyDescent="0.3">
      <c r="A189" t="s">
        <v>1154</v>
      </c>
      <c r="B189" t="s">
        <v>0</v>
      </c>
      <c r="C189">
        <v>13.32</v>
      </c>
      <c r="D189" t="s">
        <v>76</v>
      </c>
      <c r="E189" t="s">
        <v>30</v>
      </c>
      <c r="F189" t="s">
        <v>1155</v>
      </c>
      <c r="G189" t="s">
        <v>18</v>
      </c>
      <c r="H189" t="s">
        <v>1203</v>
      </c>
      <c r="I189" t="s">
        <v>1179</v>
      </c>
      <c r="J189">
        <v>1</v>
      </c>
      <c r="K189">
        <v>1</v>
      </c>
      <c r="L189">
        <v>1</v>
      </c>
      <c r="M189" t="s">
        <v>1155</v>
      </c>
      <c r="N189" t="s">
        <v>753</v>
      </c>
      <c r="O189">
        <v>25000</v>
      </c>
      <c r="P189" t="s">
        <v>752</v>
      </c>
      <c r="Q189" t="s">
        <v>750</v>
      </c>
      <c r="R189">
        <v>20</v>
      </c>
    </row>
    <row r="190" spans="1:18" x14ac:dyDescent="0.3">
      <c r="A190" t="s">
        <v>1156</v>
      </c>
      <c r="B190" t="s">
        <v>0</v>
      </c>
      <c r="C190">
        <v>10</v>
      </c>
      <c r="D190" t="s">
        <v>233</v>
      </c>
      <c r="E190" t="s">
        <v>30</v>
      </c>
      <c r="F190" t="s">
        <v>500</v>
      </c>
      <c r="G190" t="s">
        <v>191</v>
      </c>
      <c r="H190" t="s">
        <v>1204</v>
      </c>
      <c r="I190" t="s">
        <v>1179</v>
      </c>
      <c r="J190">
        <v>1</v>
      </c>
      <c r="K190">
        <v>1</v>
      </c>
      <c r="L190">
        <v>1</v>
      </c>
      <c r="M190" t="s">
        <v>500</v>
      </c>
      <c r="N190" t="s">
        <v>642</v>
      </c>
      <c r="O190">
        <v>13000</v>
      </c>
      <c r="P190" t="s">
        <v>752</v>
      </c>
      <c r="Q190" t="s">
        <v>750</v>
      </c>
      <c r="R190">
        <v>20</v>
      </c>
    </row>
    <row r="191" spans="1:18" x14ac:dyDescent="0.3">
      <c r="A191" t="s">
        <v>1157</v>
      </c>
      <c r="B191" t="s">
        <v>0</v>
      </c>
      <c r="C191">
        <v>23.18</v>
      </c>
      <c r="D191" t="s">
        <v>34</v>
      </c>
      <c r="E191" t="s">
        <v>35</v>
      </c>
      <c r="F191" t="s">
        <v>588</v>
      </c>
      <c r="G191" t="s">
        <v>136</v>
      </c>
      <c r="H191" t="s">
        <v>1187</v>
      </c>
      <c r="I191" t="s">
        <v>1181</v>
      </c>
      <c r="J191">
        <v>2</v>
      </c>
      <c r="K191">
        <v>2</v>
      </c>
      <c r="L191">
        <v>1</v>
      </c>
      <c r="M191" t="s">
        <v>588</v>
      </c>
      <c r="N191" t="s">
        <v>642</v>
      </c>
      <c r="O191">
        <v>19000</v>
      </c>
      <c r="P191" t="s">
        <v>752</v>
      </c>
      <c r="Q191" t="s">
        <v>751</v>
      </c>
      <c r="R191">
        <v>10</v>
      </c>
    </row>
    <row r="192" spans="1:18" x14ac:dyDescent="0.3">
      <c r="A192" t="s">
        <v>1158</v>
      </c>
      <c r="B192" t="s">
        <v>0</v>
      </c>
      <c r="C192">
        <v>26.44</v>
      </c>
      <c r="D192" t="s">
        <v>199</v>
      </c>
      <c r="E192" t="s">
        <v>47</v>
      </c>
      <c r="F192" t="s">
        <v>352</v>
      </c>
      <c r="G192" t="s">
        <v>104</v>
      </c>
      <c r="H192" t="s">
        <v>1193</v>
      </c>
      <c r="I192" t="s">
        <v>1179</v>
      </c>
      <c r="J192">
        <v>1</v>
      </c>
      <c r="K192">
        <v>2</v>
      </c>
      <c r="L192">
        <v>1</v>
      </c>
      <c r="M192" t="s">
        <v>352</v>
      </c>
      <c r="N192" t="s">
        <v>640</v>
      </c>
      <c r="O192">
        <v>18000</v>
      </c>
      <c r="P192" t="s">
        <v>1175</v>
      </c>
      <c r="Q192" t="s">
        <v>751</v>
      </c>
      <c r="R192">
        <v>20</v>
      </c>
    </row>
    <row r="193" spans="1:18" x14ac:dyDescent="0.3">
      <c r="A193" t="s">
        <v>1159</v>
      </c>
      <c r="B193" t="s">
        <v>0</v>
      </c>
      <c r="C193">
        <v>25.67</v>
      </c>
      <c r="D193" t="s">
        <v>49</v>
      </c>
      <c r="E193" t="s">
        <v>35</v>
      </c>
      <c r="F193" t="s">
        <v>451</v>
      </c>
      <c r="G193" t="s">
        <v>18</v>
      </c>
      <c r="H193" t="s">
        <v>1187</v>
      </c>
      <c r="I193" t="s">
        <v>1178</v>
      </c>
      <c r="J193">
        <v>2</v>
      </c>
      <c r="K193">
        <v>2</v>
      </c>
      <c r="L193">
        <v>1</v>
      </c>
      <c r="M193" t="s">
        <v>451</v>
      </c>
      <c r="N193" t="s">
        <v>643</v>
      </c>
      <c r="O193">
        <v>25000</v>
      </c>
      <c r="P193" t="s">
        <v>752</v>
      </c>
      <c r="Q193" t="s">
        <v>751</v>
      </c>
      <c r="R193">
        <v>20</v>
      </c>
    </row>
    <row r="194" spans="1:18" x14ac:dyDescent="0.3">
      <c r="A194" t="s">
        <v>1160</v>
      </c>
      <c r="B194" t="s">
        <v>0</v>
      </c>
      <c r="C194">
        <v>37.6</v>
      </c>
      <c r="D194" t="s">
        <v>224</v>
      </c>
      <c r="E194" t="s">
        <v>44</v>
      </c>
      <c r="F194" t="s">
        <v>1161</v>
      </c>
      <c r="G194" t="s">
        <v>89</v>
      </c>
      <c r="H194" t="s">
        <v>1199</v>
      </c>
      <c r="I194" t="s">
        <v>1195</v>
      </c>
      <c r="J194">
        <v>2</v>
      </c>
      <c r="K194">
        <v>2</v>
      </c>
      <c r="L194">
        <v>2</v>
      </c>
      <c r="M194" t="s">
        <v>1161</v>
      </c>
      <c r="N194" t="s">
        <v>643</v>
      </c>
      <c r="O194">
        <v>38000</v>
      </c>
      <c r="P194" t="s">
        <v>752</v>
      </c>
      <c r="Q194" t="s">
        <v>749</v>
      </c>
      <c r="R194">
        <v>30</v>
      </c>
    </row>
    <row r="195" spans="1:18" x14ac:dyDescent="0.3">
      <c r="A195" t="s">
        <v>1162</v>
      </c>
      <c r="B195" t="s">
        <v>0</v>
      </c>
      <c r="C195">
        <v>20.170000000000002</v>
      </c>
      <c r="D195" t="s">
        <v>26</v>
      </c>
      <c r="E195" t="s">
        <v>35</v>
      </c>
      <c r="F195" t="s">
        <v>11</v>
      </c>
      <c r="G195" t="s">
        <v>198</v>
      </c>
      <c r="H195" t="s">
        <v>1188</v>
      </c>
      <c r="I195" t="s">
        <v>1193</v>
      </c>
      <c r="J195">
        <v>2</v>
      </c>
      <c r="K195">
        <v>2</v>
      </c>
      <c r="L195">
        <v>1</v>
      </c>
      <c r="M195" t="s">
        <v>11</v>
      </c>
      <c r="N195" t="s">
        <v>753</v>
      </c>
      <c r="O195">
        <v>21000</v>
      </c>
      <c r="P195" t="s">
        <v>752</v>
      </c>
      <c r="Q195" t="s">
        <v>751</v>
      </c>
      <c r="R195">
        <v>10</v>
      </c>
    </row>
    <row r="196" spans="1:18" x14ac:dyDescent="0.3">
      <c r="A196" t="s">
        <v>1163</v>
      </c>
      <c r="B196" t="s">
        <v>0</v>
      </c>
      <c r="C196">
        <v>73.36</v>
      </c>
      <c r="D196" t="s">
        <v>1164</v>
      </c>
      <c r="E196" t="s">
        <v>29</v>
      </c>
      <c r="F196" t="s">
        <v>1165</v>
      </c>
      <c r="G196" t="s">
        <v>92</v>
      </c>
      <c r="H196" t="s">
        <v>1198</v>
      </c>
      <c r="I196" t="s">
        <v>1186</v>
      </c>
      <c r="J196">
        <v>3</v>
      </c>
      <c r="K196">
        <v>2</v>
      </c>
      <c r="L196">
        <v>2</v>
      </c>
      <c r="M196" t="s">
        <v>1165</v>
      </c>
      <c r="N196" t="s">
        <v>640</v>
      </c>
      <c r="O196">
        <v>58000</v>
      </c>
      <c r="P196" t="s">
        <v>1175</v>
      </c>
      <c r="Q196" t="s">
        <v>749</v>
      </c>
      <c r="R196">
        <v>30</v>
      </c>
    </row>
    <row r="197" spans="1:18" x14ac:dyDescent="0.3">
      <c r="A197" t="s">
        <v>595</v>
      </c>
      <c r="B197" t="s">
        <v>0</v>
      </c>
      <c r="C197">
        <v>9.4700000000000006</v>
      </c>
      <c r="D197" t="s">
        <v>170</v>
      </c>
      <c r="E197" t="s">
        <v>171</v>
      </c>
      <c r="F197" t="s">
        <v>596</v>
      </c>
      <c r="G197" t="s">
        <v>145</v>
      </c>
      <c r="H197" t="s">
        <v>1181</v>
      </c>
      <c r="I197" t="s">
        <v>1193</v>
      </c>
      <c r="J197">
        <v>1</v>
      </c>
      <c r="K197">
        <v>1</v>
      </c>
      <c r="L197">
        <v>1</v>
      </c>
      <c r="M197" t="s">
        <v>596</v>
      </c>
      <c r="N197" t="s">
        <v>644</v>
      </c>
      <c r="O197">
        <v>15000</v>
      </c>
      <c r="P197" t="s">
        <v>752</v>
      </c>
      <c r="Q197" t="s">
        <v>750</v>
      </c>
      <c r="R197">
        <v>10</v>
      </c>
    </row>
    <row r="198" spans="1:18" x14ac:dyDescent="0.3">
      <c r="A198" t="s">
        <v>1166</v>
      </c>
      <c r="B198" t="s">
        <v>0</v>
      </c>
      <c r="C198">
        <v>54.62</v>
      </c>
      <c r="D198" t="s">
        <v>79</v>
      </c>
      <c r="E198" t="s">
        <v>40</v>
      </c>
      <c r="F198" t="s">
        <v>1167</v>
      </c>
      <c r="G198" t="s">
        <v>74</v>
      </c>
      <c r="H198" t="s">
        <v>1204</v>
      </c>
      <c r="I198" t="s">
        <v>1183</v>
      </c>
      <c r="J198">
        <v>4</v>
      </c>
      <c r="K198">
        <v>2</v>
      </c>
      <c r="L198">
        <v>2</v>
      </c>
      <c r="M198" t="s">
        <v>1167</v>
      </c>
      <c r="N198" t="s">
        <v>644</v>
      </c>
      <c r="O198">
        <v>36000</v>
      </c>
      <c r="P198" t="s">
        <v>752</v>
      </c>
      <c r="Q198" t="s">
        <v>749</v>
      </c>
      <c r="R198">
        <v>20</v>
      </c>
    </row>
    <row r="199" spans="1:18" x14ac:dyDescent="0.3">
      <c r="A199" t="s">
        <v>1168</v>
      </c>
      <c r="B199" t="s">
        <v>0</v>
      </c>
      <c r="C199">
        <v>27.32</v>
      </c>
      <c r="D199" t="s">
        <v>223</v>
      </c>
      <c r="E199" t="s">
        <v>47</v>
      </c>
      <c r="F199" t="s">
        <v>396</v>
      </c>
      <c r="G199" t="s">
        <v>242</v>
      </c>
      <c r="H199" t="s">
        <v>1205</v>
      </c>
      <c r="I199" t="s">
        <v>1179</v>
      </c>
      <c r="J199">
        <v>1</v>
      </c>
      <c r="K199">
        <v>2</v>
      </c>
      <c r="L199">
        <v>1</v>
      </c>
      <c r="M199" t="s">
        <v>396</v>
      </c>
      <c r="N199" t="s">
        <v>642</v>
      </c>
      <c r="O199">
        <v>19500</v>
      </c>
      <c r="P199" t="s">
        <v>752</v>
      </c>
      <c r="Q199" t="s">
        <v>751</v>
      </c>
      <c r="R199">
        <v>20</v>
      </c>
    </row>
    <row r="200" spans="1:18" x14ac:dyDescent="0.3">
      <c r="A200" t="s">
        <v>448</v>
      </c>
      <c r="B200" t="s">
        <v>0</v>
      </c>
      <c r="C200">
        <v>27.28</v>
      </c>
      <c r="D200" t="s">
        <v>34</v>
      </c>
      <c r="E200" t="s">
        <v>95</v>
      </c>
      <c r="F200" t="s">
        <v>449</v>
      </c>
      <c r="G200" t="s">
        <v>104</v>
      </c>
      <c r="H200" t="s">
        <v>1187</v>
      </c>
      <c r="I200" t="s">
        <v>1181</v>
      </c>
      <c r="J200">
        <v>3</v>
      </c>
      <c r="K200">
        <v>2</v>
      </c>
      <c r="L200">
        <v>1</v>
      </c>
      <c r="M200" t="s">
        <v>449</v>
      </c>
      <c r="N200" t="s">
        <v>642</v>
      </c>
      <c r="O200">
        <v>18000</v>
      </c>
      <c r="P200" t="s">
        <v>752</v>
      </c>
      <c r="Q200" t="s">
        <v>751</v>
      </c>
      <c r="R200">
        <v>10</v>
      </c>
    </row>
    <row r="201" spans="1:18" x14ac:dyDescent="0.3">
      <c r="A201" t="s">
        <v>1169</v>
      </c>
      <c r="B201" t="s">
        <v>0</v>
      </c>
      <c r="C201">
        <v>40.04</v>
      </c>
      <c r="D201" t="s">
        <v>211</v>
      </c>
      <c r="E201" t="s">
        <v>35</v>
      </c>
      <c r="F201" t="s">
        <v>1170</v>
      </c>
      <c r="G201" t="s">
        <v>112</v>
      </c>
      <c r="H201" t="s">
        <v>1197</v>
      </c>
      <c r="I201" t="s">
        <v>1189</v>
      </c>
      <c r="J201">
        <v>2</v>
      </c>
      <c r="K201">
        <v>2</v>
      </c>
      <c r="L201">
        <v>1</v>
      </c>
      <c r="M201" t="s">
        <v>1170</v>
      </c>
      <c r="N201" t="s">
        <v>1173</v>
      </c>
      <c r="O201">
        <v>35000</v>
      </c>
      <c r="P201" t="s">
        <v>1172</v>
      </c>
      <c r="Q201" t="s">
        <v>749</v>
      </c>
      <c r="R201">
        <v>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36267-124B-4F04-BE9C-750374FC302E}">
  <sheetPr codeName="工作表6"/>
  <dimension ref="A3:X26"/>
  <sheetViews>
    <sheetView workbookViewId="0">
      <selection activeCell="D4" sqref="D4"/>
    </sheetView>
  </sheetViews>
  <sheetFormatPr defaultRowHeight="15" x14ac:dyDescent="0.3"/>
  <cols>
    <col min="1" max="1" width="6.625" bestFit="1" customWidth="1"/>
    <col min="2" max="2" width="6.5" bestFit="1" customWidth="1"/>
    <col min="3" max="3" width="14" bestFit="1" customWidth="1"/>
    <col min="4" max="4" width="24.5" bestFit="1" customWidth="1"/>
    <col min="5" max="5" width="12.125" customWidth="1"/>
    <col min="6" max="6" width="6.25" bestFit="1" customWidth="1"/>
    <col min="7" max="7" width="9" bestFit="1" customWidth="1"/>
    <col min="8" max="8" width="14" bestFit="1" customWidth="1"/>
    <col min="9" max="9" width="11.375" bestFit="1" customWidth="1"/>
    <col min="10" max="10" width="13.75" bestFit="1" customWidth="1"/>
    <col min="11" max="11" width="6.25" bestFit="1" customWidth="1"/>
    <col min="12" max="12" width="13.875" bestFit="1" customWidth="1"/>
    <col min="13" max="13" width="11.375" bestFit="1" customWidth="1"/>
    <col min="14" max="14" width="10.75" customWidth="1"/>
    <col min="15" max="15" width="10.75" bestFit="1" customWidth="1"/>
    <col min="16" max="16" width="23.125" bestFit="1" customWidth="1"/>
    <col min="17" max="17" width="10.75" bestFit="1" customWidth="1"/>
    <col min="18" max="18" width="10.75" customWidth="1"/>
    <col min="19" max="19" width="10.75" bestFit="1" customWidth="1"/>
    <col min="20" max="20" width="6.625" bestFit="1" customWidth="1"/>
    <col min="21" max="23" width="13.875" bestFit="1" customWidth="1"/>
    <col min="24" max="24" width="10.25" bestFit="1" customWidth="1"/>
    <col min="25" max="26" width="13.75" bestFit="1" customWidth="1"/>
    <col min="27" max="27" width="31.25" bestFit="1" customWidth="1"/>
  </cols>
  <sheetData>
    <row r="3" spans="1:24" x14ac:dyDescent="0.3">
      <c r="A3" s="1" t="s">
        <v>768</v>
      </c>
      <c r="B3" t="s">
        <v>771</v>
      </c>
      <c r="C3" t="s">
        <v>772</v>
      </c>
      <c r="D3" t="s">
        <v>773</v>
      </c>
      <c r="F3" s="1" t="s">
        <v>768</v>
      </c>
      <c r="G3" s="1" t="s">
        <v>766</v>
      </c>
      <c r="H3" t="s">
        <v>772</v>
      </c>
      <c r="I3" t="s">
        <v>754</v>
      </c>
      <c r="K3" s="1" t="s">
        <v>768</v>
      </c>
      <c r="L3" s="1" t="s">
        <v>769</v>
      </c>
      <c r="M3" t="s">
        <v>754</v>
      </c>
      <c r="O3" s="1" t="s">
        <v>768</v>
      </c>
      <c r="P3" s="1" t="s">
        <v>770</v>
      </c>
      <c r="Q3" t="s">
        <v>773</v>
      </c>
      <c r="S3" s="1" t="s">
        <v>754</v>
      </c>
      <c r="U3" s="1" t="s">
        <v>769</v>
      </c>
    </row>
    <row r="4" spans="1:24" x14ac:dyDescent="0.3">
      <c r="A4" t="s">
        <v>752</v>
      </c>
      <c r="B4" s="13">
        <v>112</v>
      </c>
      <c r="C4" s="4">
        <v>33846.428571428572</v>
      </c>
      <c r="D4" s="4">
        <v>991.63436033462574</v>
      </c>
      <c r="F4" t="s">
        <v>752</v>
      </c>
      <c r="G4" t="s">
        <v>753</v>
      </c>
      <c r="H4" s="4">
        <v>45482.352941176468</v>
      </c>
      <c r="I4" s="4">
        <v>1408.0839168480188</v>
      </c>
      <c r="K4" t="s">
        <v>752</v>
      </c>
      <c r="L4" t="s">
        <v>749</v>
      </c>
      <c r="M4" s="4">
        <v>897.54363630512012</v>
      </c>
      <c r="N4" s="4"/>
      <c r="O4" t="s">
        <v>752</v>
      </c>
      <c r="P4">
        <v>10</v>
      </c>
      <c r="Q4" s="4">
        <v>990.3760880275903</v>
      </c>
      <c r="R4" s="4"/>
      <c r="S4" s="1" t="s">
        <v>768</v>
      </c>
      <c r="T4" s="1" t="s">
        <v>762</v>
      </c>
      <c r="U4" t="s">
        <v>749</v>
      </c>
      <c r="V4" t="s">
        <v>750</v>
      </c>
      <c r="W4" t="s">
        <v>751</v>
      </c>
      <c r="X4" t="s">
        <v>646</v>
      </c>
    </row>
    <row r="5" spans="1:24" x14ac:dyDescent="0.3">
      <c r="A5" t="s">
        <v>1172</v>
      </c>
      <c r="B5" s="13">
        <v>50</v>
      </c>
      <c r="C5" s="4">
        <v>29292</v>
      </c>
      <c r="D5" s="4">
        <v>765.08783935558358</v>
      </c>
      <c r="F5" t="s">
        <v>752</v>
      </c>
      <c r="G5" t="s">
        <v>639</v>
      </c>
      <c r="H5" s="4">
        <v>24281.25</v>
      </c>
      <c r="I5" s="4">
        <v>636.1239827747122</v>
      </c>
      <c r="K5" t="s">
        <v>752</v>
      </c>
      <c r="L5" t="s">
        <v>751</v>
      </c>
      <c r="M5" s="4">
        <v>1089.9841547827541</v>
      </c>
      <c r="N5" s="4"/>
      <c r="O5" t="s">
        <v>752</v>
      </c>
      <c r="P5">
        <v>20</v>
      </c>
      <c r="Q5" s="4">
        <v>1030.8329179819461</v>
      </c>
      <c r="R5" s="4"/>
      <c r="S5" t="s">
        <v>752</v>
      </c>
      <c r="T5">
        <v>1</v>
      </c>
      <c r="U5" s="5">
        <v>2192.9009477792233</v>
      </c>
      <c r="V5" s="5">
        <v>1874.1721854304633</v>
      </c>
      <c r="W5" s="5">
        <v>991.68732681930885</v>
      </c>
      <c r="X5" s="5">
        <v>1570.405029975143</v>
      </c>
    </row>
    <row r="6" spans="1:24" x14ac:dyDescent="0.3">
      <c r="A6" t="s">
        <v>1175</v>
      </c>
      <c r="B6" s="13">
        <v>38</v>
      </c>
      <c r="C6" s="4">
        <v>26600</v>
      </c>
      <c r="D6" s="4">
        <v>681.66031628283372</v>
      </c>
      <c r="F6" t="s">
        <v>752</v>
      </c>
      <c r="G6" t="s">
        <v>642</v>
      </c>
      <c r="H6" s="4">
        <v>29852.083333333332</v>
      </c>
      <c r="I6" s="4">
        <v>953.64546936873967</v>
      </c>
      <c r="K6" t="s">
        <v>752</v>
      </c>
      <c r="L6" t="s">
        <v>750</v>
      </c>
      <c r="M6" s="4">
        <v>1957.2192513368984</v>
      </c>
      <c r="N6" s="4"/>
      <c r="O6" t="s">
        <v>752</v>
      </c>
      <c r="P6">
        <v>30</v>
      </c>
      <c r="Q6" s="4">
        <v>887.80046098123137</v>
      </c>
      <c r="R6" s="4"/>
      <c r="S6" t="s">
        <v>752</v>
      </c>
      <c r="T6">
        <v>2</v>
      </c>
      <c r="U6" s="5">
        <v>855.61059483358588</v>
      </c>
      <c r="V6" s="5">
        <v>1982.5535289452816</v>
      </c>
      <c r="W6" s="5">
        <v>1254.0499332952161</v>
      </c>
      <c r="X6" s="5">
        <v>987.32362483965892</v>
      </c>
    </row>
    <row r="7" spans="1:24" x14ac:dyDescent="0.3">
      <c r="A7" t="s">
        <v>646</v>
      </c>
      <c r="B7" s="13">
        <v>200</v>
      </c>
      <c r="C7" s="4">
        <v>31331</v>
      </c>
      <c r="D7" s="4">
        <v>867.90435351084216</v>
      </c>
      <c r="F7" t="s">
        <v>752</v>
      </c>
      <c r="G7" t="s">
        <v>643</v>
      </c>
      <c r="H7" s="4">
        <v>30875</v>
      </c>
      <c r="I7" s="4">
        <v>720.41066324447286</v>
      </c>
      <c r="K7" t="s">
        <v>1171</v>
      </c>
      <c r="M7" s="4">
        <v>991.63436033462563</v>
      </c>
      <c r="N7" s="4"/>
      <c r="O7" t="s">
        <v>752</v>
      </c>
      <c r="P7" t="s">
        <v>913</v>
      </c>
      <c r="Q7" s="4">
        <v>1156.6606341962388</v>
      </c>
      <c r="R7" s="4"/>
      <c r="S7" t="s">
        <v>752</v>
      </c>
      <c r="T7">
        <v>3</v>
      </c>
      <c r="U7" s="5">
        <v>888.45854096308722</v>
      </c>
      <c r="V7" s="5">
        <v>2454.4179523141656</v>
      </c>
      <c r="W7" s="5">
        <v>945.96479482243979</v>
      </c>
      <c r="X7" s="5">
        <v>914.59629219364342</v>
      </c>
    </row>
    <row r="8" spans="1:24" x14ac:dyDescent="0.3">
      <c r="F8" t="s">
        <v>752</v>
      </c>
      <c r="G8" t="s">
        <v>644</v>
      </c>
      <c r="H8" s="4">
        <v>29333.333333333332</v>
      </c>
      <c r="I8" s="4">
        <v>655.7132744681644</v>
      </c>
      <c r="K8" t="s">
        <v>1172</v>
      </c>
      <c r="L8" t="s">
        <v>749</v>
      </c>
      <c r="M8" s="4">
        <v>724.06915692470363</v>
      </c>
      <c r="N8" s="4"/>
      <c r="O8" t="s">
        <v>1171</v>
      </c>
      <c r="Q8" s="4">
        <v>991.63436033462528</v>
      </c>
      <c r="R8" s="4"/>
      <c r="S8" t="s">
        <v>752</v>
      </c>
      <c r="T8">
        <v>4</v>
      </c>
      <c r="U8" s="5">
        <v>796.03447478376165</v>
      </c>
      <c r="V8" s="5"/>
      <c r="W8" s="5">
        <v>1554.9412577747062</v>
      </c>
      <c r="X8" s="5">
        <v>828.45040072026325</v>
      </c>
    </row>
    <row r="9" spans="1:24" x14ac:dyDescent="0.3">
      <c r="F9" t="s">
        <v>1171</v>
      </c>
      <c r="H9" s="4">
        <v>33846.428571428572</v>
      </c>
      <c r="I9" s="4">
        <v>991.63436033462563</v>
      </c>
      <c r="K9" t="s">
        <v>1172</v>
      </c>
      <c r="L9" t="s">
        <v>751</v>
      </c>
      <c r="M9" s="4">
        <v>868.67167919799499</v>
      </c>
      <c r="O9" t="s">
        <v>1172</v>
      </c>
      <c r="P9">
        <v>10</v>
      </c>
      <c r="Q9" s="4">
        <v>803.21556441261907</v>
      </c>
      <c r="R9" s="4"/>
      <c r="S9" t="s">
        <v>1171</v>
      </c>
      <c r="U9" s="5">
        <v>883.34873406024826</v>
      </c>
      <c r="V9" s="5">
        <v>1928.374655647383</v>
      </c>
      <c r="W9" s="5">
        <v>1089.9841547827539</v>
      </c>
      <c r="X9" s="5">
        <v>979.86966589125211</v>
      </c>
    </row>
    <row r="10" spans="1:24" x14ac:dyDescent="0.3">
      <c r="F10" t="s">
        <v>1172</v>
      </c>
      <c r="G10" t="s">
        <v>1173</v>
      </c>
      <c r="H10" s="4">
        <v>29292</v>
      </c>
      <c r="I10" s="4">
        <v>765.08783935558358</v>
      </c>
      <c r="K10" t="s">
        <v>1172</v>
      </c>
      <c r="L10" t="s">
        <v>750</v>
      </c>
      <c r="M10" s="4">
        <v>1714.1718158261908</v>
      </c>
      <c r="O10" t="s">
        <v>1172</v>
      </c>
      <c r="P10">
        <v>20</v>
      </c>
      <c r="Q10" s="4">
        <v>721.35065954353718</v>
      </c>
      <c r="R10" s="4"/>
      <c r="S10" t="s">
        <v>1172</v>
      </c>
      <c r="T10">
        <v>1</v>
      </c>
      <c r="U10" s="5">
        <v>917.20975138788322</v>
      </c>
      <c r="V10" s="5">
        <v>1714.1718158261908</v>
      </c>
      <c r="W10" s="5">
        <v>906.14886731391584</v>
      </c>
      <c r="X10" s="5">
        <v>1203.3345415005435</v>
      </c>
    </row>
    <row r="11" spans="1:24" x14ac:dyDescent="0.3">
      <c r="F11" t="s">
        <v>1174</v>
      </c>
      <c r="H11" s="4">
        <v>29292</v>
      </c>
      <c r="I11" s="4">
        <v>765.08783935558358</v>
      </c>
      <c r="K11" t="s">
        <v>1174</v>
      </c>
      <c r="M11" s="4">
        <v>765.08783935558358</v>
      </c>
      <c r="O11" t="s">
        <v>1172</v>
      </c>
      <c r="P11">
        <v>30</v>
      </c>
      <c r="Q11" s="4">
        <v>815.06746250689673</v>
      </c>
      <c r="R11" s="4"/>
      <c r="S11" t="s">
        <v>1172</v>
      </c>
      <c r="T11">
        <v>2</v>
      </c>
      <c r="U11" s="5">
        <v>809.58658689111996</v>
      </c>
      <c r="V11" s="5"/>
      <c r="W11" s="5">
        <v>903.12313507061879</v>
      </c>
      <c r="X11" s="5">
        <v>833.3123092060448</v>
      </c>
    </row>
    <row r="12" spans="1:24" x14ac:dyDescent="0.3">
      <c r="F12" t="s">
        <v>1175</v>
      </c>
      <c r="G12" t="s">
        <v>1176</v>
      </c>
      <c r="H12" s="4">
        <v>33375</v>
      </c>
      <c r="I12" s="4">
        <v>657.47352868751534</v>
      </c>
      <c r="K12" t="s">
        <v>1175</v>
      </c>
      <c r="L12" t="s">
        <v>749</v>
      </c>
      <c r="M12" s="4">
        <v>639.50461023303512</v>
      </c>
      <c r="O12" t="s">
        <v>1172</v>
      </c>
      <c r="P12">
        <v>40</v>
      </c>
      <c r="Q12" s="4">
        <v>946.46855281905141</v>
      </c>
      <c r="R12" s="4"/>
      <c r="S12" t="s">
        <v>1172</v>
      </c>
      <c r="T12">
        <v>3</v>
      </c>
      <c r="U12" s="5">
        <v>694.68476435831383</v>
      </c>
      <c r="V12" s="5"/>
      <c r="W12" s="5">
        <v>769.81562440600646</v>
      </c>
      <c r="X12" s="5">
        <v>699.4308494032324</v>
      </c>
    </row>
    <row r="13" spans="1:24" x14ac:dyDescent="0.3">
      <c r="F13" t="s">
        <v>1175</v>
      </c>
      <c r="G13" t="s">
        <v>640</v>
      </c>
      <c r="H13" s="4">
        <v>23473.076923076922</v>
      </c>
      <c r="I13" s="4">
        <v>698.52352065926505</v>
      </c>
      <c r="K13" t="s">
        <v>1175</v>
      </c>
      <c r="L13" t="s">
        <v>751</v>
      </c>
      <c r="M13" s="4">
        <v>792.22357229647628</v>
      </c>
      <c r="O13" t="s">
        <v>1174</v>
      </c>
      <c r="Q13" s="4">
        <v>765.08783935558358</v>
      </c>
      <c r="R13" s="4"/>
      <c r="S13" t="s">
        <v>1172</v>
      </c>
      <c r="T13">
        <v>4</v>
      </c>
      <c r="U13" s="5">
        <v>663.1106335623009</v>
      </c>
      <c r="V13" s="5"/>
      <c r="W13" s="5"/>
      <c r="X13" s="5">
        <v>663.1106335623009</v>
      </c>
    </row>
    <row r="14" spans="1:24" x14ac:dyDescent="0.3">
      <c r="F14" t="s">
        <v>1177</v>
      </c>
      <c r="H14" s="4">
        <v>26600</v>
      </c>
      <c r="I14" s="4">
        <v>681.66031628283372</v>
      </c>
      <c r="K14" t="s">
        <v>1175</v>
      </c>
      <c r="L14" t="s">
        <v>750</v>
      </c>
      <c r="M14" s="4">
        <v>1719.3469954845432</v>
      </c>
      <c r="O14" t="s">
        <v>1175</v>
      </c>
      <c r="P14">
        <v>10</v>
      </c>
      <c r="Q14" s="4">
        <v>811.3727794602903</v>
      </c>
      <c r="R14" s="4"/>
      <c r="S14" t="s">
        <v>1172</v>
      </c>
      <c r="T14">
        <v>5</v>
      </c>
      <c r="U14" s="5">
        <v>888.70080406263219</v>
      </c>
      <c r="V14" s="5"/>
      <c r="W14" s="5"/>
      <c r="X14" s="5">
        <v>888.70080406263219</v>
      </c>
    </row>
    <row r="15" spans="1:24" x14ac:dyDescent="0.3">
      <c r="F15" t="s">
        <v>646</v>
      </c>
      <c r="H15" s="4">
        <v>31331</v>
      </c>
      <c r="I15" s="4">
        <v>867.90435351084216</v>
      </c>
      <c r="K15" t="s">
        <v>1177</v>
      </c>
      <c r="M15" s="4">
        <v>681.66031628283372</v>
      </c>
      <c r="O15" t="s">
        <v>1175</v>
      </c>
      <c r="P15">
        <v>20</v>
      </c>
      <c r="Q15" s="4">
        <v>672.12022335072027</v>
      </c>
      <c r="R15" s="4"/>
      <c r="S15" t="s">
        <v>1174</v>
      </c>
      <c r="U15" s="5">
        <v>728.32050795403575</v>
      </c>
      <c r="V15" s="5">
        <v>1714.1718158261908</v>
      </c>
      <c r="W15" s="5">
        <v>868.67167919799499</v>
      </c>
      <c r="X15" s="5">
        <v>773.92236050440943</v>
      </c>
    </row>
    <row r="16" spans="1:24" x14ac:dyDescent="0.3">
      <c r="K16" t="s">
        <v>646</v>
      </c>
      <c r="M16" s="4">
        <v>867.90435351084216</v>
      </c>
      <c r="O16" t="s">
        <v>1175</v>
      </c>
      <c r="P16">
        <v>30</v>
      </c>
      <c r="Q16" s="4">
        <v>629.53685717206827</v>
      </c>
      <c r="R16" s="4"/>
      <c r="S16" t="s">
        <v>1175</v>
      </c>
      <c r="T16">
        <v>1</v>
      </c>
      <c r="U16" s="5">
        <v>643.83208859129547</v>
      </c>
      <c r="V16" s="5">
        <v>1719.3469954845432</v>
      </c>
      <c r="W16" s="5">
        <v>680.78668683812407</v>
      </c>
      <c r="X16" s="5">
        <v>983.41484159047411</v>
      </c>
    </row>
    <row r="17" spans="2:24" x14ac:dyDescent="0.3">
      <c r="O17" t="s">
        <v>1177</v>
      </c>
      <c r="Q17" s="4">
        <v>681.66031628283372</v>
      </c>
      <c r="R17" s="4"/>
      <c r="S17" t="s">
        <v>1175</v>
      </c>
      <c r="T17">
        <v>2</v>
      </c>
      <c r="U17" s="5">
        <v>673.65269461077833</v>
      </c>
      <c r="V17" s="5"/>
      <c r="W17" s="5">
        <v>922.38249435776652</v>
      </c>
      <c r="X17" s="5">
        <v>722.77016683783199</v>
      </c>
    </row>
    <row r="18" spans="2:24" x14ac:dyDescent="0.3">
      <c r="O18" t="s">
        <v>646</v>
      </c>
      <c r="Q18" s="4">
        <v>867.90435351084204</v>
      </c>
      <c r="R18" s="4"/>
      <c r="S18" t="s">
        <v>1175</v>
      </c>
      <c r="T18">
        <v>3</v>
      </c>
      <c r="U18" s="5">
        <v>613.41474128085747</v>
      </c>
      <c r="V18" s="5"/>
      <c r="W18" s="5">
        <v>544.6623093681917</v>
      </c>
      <c r="X18" s="5">
        <v>609.49343495008907</v>
      </c>
    </row>
    <row r="19" spans="2:24" x14ac:dyDescent="0.3">
      <c r="R19" s="4"/>
      <c r="S19" t="s">
        <v>1175</v>
      </c>
      <c r="T19">
        <v>4</v>
      </c>
      <c r="U19" s="5">
        <v>544.34301984758395</v>
      </c>
      <c r="V19" s="5"/>
      <c r="W19" s="5">
        <v>787.40157480314963</v>
      </c>
      <c r="X19" s="5">
        <v>579.68940098761902</v>
      </c>
    </row>
    <row r="20" spans="2:24" x14ac:dyDescent="0.3">
      <c r="R20" s="4"/>
      <c r="S20" t="s">
        <v>1175</v>
      </c>
      <c r="T20">
        <v>5</v>
      </c>
      <c r="U20" s="5">
        <v>660.26938991108375</v>
      </c>
      <c r="V20" s="5"/>
      <c r="W20" s="5"/>
      <c r="X20" s="5">
        <v>660.26938991108375</v>
      </c>
    </row>
    <row r="21" spans="2:24" x14ac:dyDescent="0.3">
      <c r="S21" t="s">
        <v>1177</v>
      </c>
      <c r="U21" s="5">
        <v>633.74543287976098</v>
      </c>
      <c r="V21" s="5">
        <v>1719.3469954845432</v>
      </c>
      <c r="W21" s="5">
        <v>811.53169513648493</v>
      </c>
      <c r="X21" s="5">
        <v>680.22966478745616</v>
      </c>
    </row>
    <row r="22" spans="2:24" x14ac:dyDescent="0.3">
      <c r="S22" t="s">
        <v>646</v>
      </c>
      <c r="U22" s="5">
        <v>787.13914527848704</v>
      </c>
      <c r="V22" s="5">
        <v>1863.1001051279056</v>
      </c>
      <c r="W22" s="5">
        <v>1013.2666161898808</v>
      </c>
      <c r="X22" s="5">
        <v>868.57071931698795</v>
      </c>
    </row>
    <row r="23" spans="2:24" x14ac:dyDescent="0.3">
      <c r="B23" t="s">
        <v>745</v>
      </c>
      <c r="C23" t="str">
        <f>"臺灣"&amp;'Pivot table'!A4 &amp;"租屋市場"</f>
        <v>臺灣北部租屋市場</v>
      </c>
    </row>
    <row r="24" spans="2:24" x14ac:dyDescent="0.3">
      <c r="B24" t="s">
        <v>746</v>
      </c>
      <c r="C24" s="2">
        <f>GETPIVOTDATA("計數",'Pivot table'!$A$3)</f>
        <v>200</v>
      </c>
    </row>
    <row r="25" spans="2:24" x14ac:dyDescent="0.3">
      <c r="B25" t="s">
        <v>747</v>
      </c>
      <c r="C25" s="4">
        <f>GETPIVOTDATA("平均租金",$A$3)</f>
        <v>31331</v>
      </c>
    </row>
    <row r="26" spans="2:24" x14ac:dyDescent="0.3">
      <c r="B26" t="s">
        <v>748</v>
      </c>
      <c r="C26" s="4">
        <f>GETPIVOTDATA("加總 - 一坪平均租金",'Pivot table'!$A$3)</f>
        <v>867.90435351084216</v>
      </c>
    </row>
  </sheetData>
  <sortState xmlns:xlrd2="http://schemas.microsoft.com/office/spreadsheetml/2017/richdata2" ref="K3:M8">
    <sortCondition ref="M5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16215-0BE3-484E-969C-9B6B81975538}">
  <sheetPr codeName="工作表16"/>
  <dimension ref="A12:AP401"/>
  <sheetViews>
    <sheetView showGridLines="0" zoomScale="57" workbookViewId="0">
      <selection activeCell="AE40" sqref="AE40"/>
    </sheetView>
  </sheetViews>
  <sheetFormatPr defaultRowHeight="15" x14ac:dyDescent="0.3"/>
  <cols>
    <col min="2" max="2" width="8.75" customWidth="1"/>
    <col min="4" max="6" width="11.25" bestFit="1" customWidth="1"/>
    <col min="23" max="23" width="10.25" bestFit="1" customWidth="1"/>
    <col min="25" max="25" width="30.75" bestFit="1" customWidth="1"/>
    <col min="26" max="26" width="6" bestFit="1" customWidth="1"/>
    <col min="27" max="27" width="6.375" customWidth="1"/>
    <col min="28" max="28" width="11" bestFit="1" customWidth="1"/>
    <col min="29" max="29" width="14.625" customWidth="1"/>
    <col min="30" max="30" width="47" bestFit="1" customWidth="1"/>
    <col min="31" max="32" width="13.25" bestFit="1" customWidth="1"/>
  </cols>
  <sheetData>
    <row r="12" spans="23:42" x14ac:dyDescent="0.3">
      <c r="AN12" s="6"/>
      <c r="AO12" s="6"/>
      <c r="AP12" s="6"/>
    </row>
    <row r="13" spans="23:42" x14ac:dyDescent="0.3">
      <c r="W13" s="6"/>
      <c r="AN13" s="6">
        <v>1</v>
      </c>
      <c r="AO13" s="6"/>
      <c r="AP13" s="6">
        <v>1</v>
      </c>
    </row>
    <row r="14" spans="23:42" x14ac:dyDescent="0.3">
      <c r="W14" s="6"/>
      <c r="AN14" s="6">
        <v>2</v>
      </c>
      <c r="AO14" s="6"/>
      <c r="AP14" s="6" t="b">
        <v>0</v>
      </c>
    </row>
    <row r="15" spans="23:42" x14ac:dyDescent="0.3">
      <c r="W15" s="6"/>
      <c r="AN15" s="6">
        <v>3</v>
      </c>
      <c r="AO15" s="6"/>
      <c r="AP15" s="6" t="b">
        <v>0</v>
      </c>
    </row>
    <row r="16" spans="23:42" x14ac:dyDescent="0.3">
      <c r="W16" s="6" t="str" cm="1">
        <f t="array" ref="W16">INDEX(區隔!B3:B20,W17)</f>
        <v>台北市</v>
      </c>
      <c r="AN16" s="6">
        <v>4</v>
      </c>
      <c r="AO16" s="6"/>
      <c r="AP16" s="6"/>
    </row>
    <row r="17" spans="2:40" x14ac:dyDescent="0.3">
      <c r="W17" s="6">
        <v>1</v>
      </c>
      <c r="AN17">
        <v>5</v>
      </c>
    </row>
    <row r="18" spans="2:40" x14ac:dyDescent="0.3">
      <c r="W18" s="6"/>
    </row>
    <row r="19" spans="2:40" x14ac:dyDescent="0.3">
      <c r="W19" s="6"/>
    </row>
    <row r="20" spans="2:40" x14ac:dyDescent="0.3">
      <c r="W20" s="6"/>
    </row>
    <row r="21" spans="2:40" x14ac:dyDescent="0.3">
      <c r="W21" s="6"/>
    </row>
    <row r="22" spans="2:40" x14ac:dyDescent="0.3">
      <c r="Y22" s="8" t="s">
        <v>774</v>
      </c>
      <c r="Z22" s="8" t="s">
        <v>755</v>
      </c>
      <c r="AA22" s="8" t="s">
        <v>756</v>
      </c>
      <c r="AB22" s="8" t="s">
        <v>759</v>
      </c>
      <c r="AC22" s="8" t="s">
        <v>757</v>
      </c>
      <c r="AD22" s="8" t="s">
        <v>758</v>
      </c>
      <c r="AE22" s="8" t="s">
        <v>775</v>
      </c>
    </row>
    <row r="23" spans="2:40" x14ac:dyDescent="0.3">
      <c r="C23" s="6" t="str">
        <f>'Pivot table'!T4</f>
        <v>房</v>
      </c>
      <c r="D23" s="8" t="str">
        <f>'Pivot table'!U4</f>
        <v>大坪數</v>
      </c>
      <c r="E23" s="8" t="str">
        <f>'Pivot table'!V4</f>
        <v>小坪數</v>
      </c>
      <c r="F23" s="8" t="str">
        <f>'Pivot table'!W4</f>
        <v>中坪數</v>
      </c>
      <c r="Y23" s="11" t="s">
        <v>1076</v>
      </c>
      <c r="Z23" s="9" t="s">
        <v>0</v>
      </c>
      <c r="AA23" s="9">
        <v>8.32</v>
      </c>
      <c r="AB23" s="9" t="s">
        <v>26</v>
      </c>
      <c r="AC23" s="9" t="s">
        <v>30</v>
      </c>
      <c r="AD23" s="9" t="s">
        <v>63</v>
      </c>
      <c r="AE23" s="9" t="s">
        <v>136</v>
      </c>
    </row>
    <row r="24" spans="2:40" x14ac:dyDescent="0.3">
      <c r="B24" s="6" t="str">
        <f>'Pivot table'!S5</f>
        <v>北部</v>
      </c>
      <c r="C24">
        <f>'Pivot table'!T5</f>
        <v>1</v>
      </c>
      <c r="D24" s="5">
        <f>IF('Pivot table'!U5&gt;0,'Pivot table'!U5,"")</f>
        <v>2192.9009477792233</v>
      </c>
      <c r="E24" s="5">
        <f>IF('Pivot table'!V5&gt;0,'Pivot table'!V5,"")</f>
        <v>1874.1721854304633</v>
      </c>
      <c r="F24" s="5">
        <f>IF('Pivot table'!W5&gt;0,'Pivot table'!W5,"")</f>
        <v>991.68732681930885</v>
      </c>
      <c r="Y24" s="12" t="s">
        <v>974</v>
      </c>
      <c r="Z24" s="10" t="s">
        <v>0</v>
      </c>
      <c r="AA24" s="10">
        <v>12.1</v>
      </c>
      <c r="AB24" s="10" t="s">
        <v>268</v>
      </c>
      <c r="AC24" s="10" t="s">
        <v>30</v>
      </c>
      <c r="AD24" s="10" t="s">
        <v>975</v>
      </c>
      <c r="AE24" s="10" t="s">
        <v>185</v>
      </c>
    </row>
    <row r="25" spans="2:40" x14ac:dyDescent="0.3">
      <c r="B25" s="6" t="str">
        <f>'Pivot table'!S6</f>
        <v>北部</v>
      </c>
      <c r="C25">
        <f>'Pivot table'!T6</f>
        <v>2</v>
      </c>
      <c r="D25" s="5">
        <f>IF('Pivot table'!U6&gt;0,'Pivot table'!U6,"")</f>
        <v>855.61059483358588</v>
      </c>
      <c r="E25" s="5">
        <f>IF('Pivot table'!V6&gt;0,'Pivot table'!V6,"")</f>
        <v>1982.5535289452816</v>
      </c>
      <c r="F25" s="5">
        <f>IF('Pivot table'!W6&gt;0,'Pivot table'!W6,"")</f>
        <v>1254.0499332952161</v>
      </c>
      <c r="Y25" s="11" t="s">
        <v>10</v>
      </c>
      <c r="Z25" s="9" t="s">
        <v>0</v>
      </c>
      <c r="AA25" s="9">
        <v>12.55</v>
      </c>
      <c r="AB25" s="9" t="s">
        <v>26</v>
      </c>
      <c r="AC25" s="9" t="s">
        <v>30</v>
      </c>
      <c r="AD25" s="9" t="s">
        <v>11</v>
      </c>
      <c r="AE25" s="9" t="s">
        <v>12</v>
      </c>
    </row>
    <row r="26" spans="2:40" x14ac:dyDescent="0.3">
      <c r="B26" s="6" t="str">
        <f>'Pivot table'!S7</f>
        <v>北部</v>
      </c>
      <c r="C26">
        <f>'Pivot table'!T7</f>
        <v>3</v>
      </c>
      <c r="D26" s="5">
        <f>IF('Pivot table'!U7&gt;0,'Pivot table'!U7,"")</f>
        <v>888.45854096308722</v>
      </c>
      <c r="E26" s="5">
        <f>IF('Pivot table'!V7&gt;0,'Pivot table'!V7,"")</f>
        <v>2454.4179523141656</v>
      </c>
      <c r="F26" s="5">
        <f>IF('Pivot table'!W7&gt;0,'Pivot table'!W7,"")</f>
        <v>945.96479482243979</v>
      </c>
      <c r="Y26" s="12" t="s">
        <v>1154</v>
      </c>
      <c r="Z26" s="10" t="s">
        <v>0</v>
      </c>
      <c r="AA26" s="10">
        <v>13.32</v>
      </c>
      <c r="AB26" s="10" t="s">
        <v>76</v>
      </c>
      <c r="AC26" s="10" t="s">
        <v>30</v>
      </c>
      <c r="AD26" s="10" t="s">
        <v>1155</v>
      </c>
      <c r="AE26" s="10" t="s">
        <v>18</v>
      </c>
    </row>
    <row r="27" spans="2:40" x14ac:dyDescent="0.3">
      <c r="B27" s="6" t="str">
        <f>'Pivot table'!S8</f>
        <v>北部</v>
      </c>
      <c r="C27">
        <f>'Pivot table'!T8</f>
        <v>4</v>
      </c>
      <c r="D27" s="5">
        <f>IF('Pivot table'!U8&gt;0,'Pivot table'!U8,"")</f>
        <v>796.03447478376165</v>
      </c>
      <c r="E27" s="5" t="str">
        <f>IF('Pivot table'!V8&gt;0,'Pivot table'!V8,"")</f>
        <v/>
      </c>
      <c r="F27" s="5">
        <f>IF('Pivot table'!W8&gt;0,'Pivot table'!W8,"")</f>
        <v>1554.9412577747062</v>
      </c>
      <c r="Y27" s="11" t="s">
        <v>6</v>
      </c>
      <c r="Z27" s="9" t="s">
        <v>0</v>
      </c>
      <c r="AA27" s="9">
        <v>9</v>
      </c>
      <c r="AB27" s="9" t="s">
        <v>26</v>
      </c>
      <c r="AC27" s="9" t="s">
        <v>30</v>
      </c>
      <c r="AD27" s="9" t="s">
        <v>7</v>
      </c>
      <c r="AE27" s="9" t="s">
        <v>115</v>
      </c>
    </row>
    <row r="28" spans="2:40" x14ac:dyDescent="0.3">
      <c r="B28" s="6" t="str">
        <f>'Pivot table'!S9</f>
        <v>北部 合計</v>
      </c>
      <c r="C28">
        <f>'Pivot table'!T9</f>
        <v>0</v>
      </c>
      <c r="D28" s="5">
        <f>IF('Pivot table'!U9&gt;0,'Pivot table'!U9,"")</f>
        <v>883.34873406024826</v>
      </c>
      <c r="E28" s="5">
        <f>IF('Pivot table'!V9&gt;0,'Pivot table'!V9,"")</f>
        <v>1928.374655647383</v>
      </c>
      <c r="F28" s="5">
        <f>IF('Pivot table'!W9&gt;0,'Pivot table'!W9,"")</f>
        <v>1089.9841547827539</v>
      </c>
    </row>
    <row r="262" spans="1:8" x14ac:dyDescent="0.3">
      <c r="A262" t="s">
        <v>776</v>
      </c>
      <c r="B262" t="s">
        <v>493</v>
      </c>
      <c r="C262" t="s">
        <v>0</v>
      </c>
      <c r="D262">
        <v>52.7</v>
      </c>
      <c r="E262" t="s">
        <v>241</v>
      </c>
      <c r="F262" t="s">
        <v>29</v>
      </c>
      <c r="G262" t="s">
        <v>423</v>
      </c>
      <c r="H262" t="s">
        <v>112</v>
      </c>
    </row>
    <row r="263" spans="1:8" x14ac:dyDescent="0.3">
      <c r="A263" t="s">
        <v>777</v>
      </c>
      <c r="B263" t="s">
        <v>109</v>
      </c>
      <c r="C263" t="s">
        <v>0</v>
      </c>
      <c r="D263">
        <v>28.73</v>
      </c>
      <c r="E263" t="s">
        <v>110</v>
      </c>
      <c r="F263" t="s">
        <v>35</v>
      </c>
      <c r="G263" t="s">
        <v>111</v>
      </c>
      <c r="H263" t="s">
        <v>112</v>
      </c>
    </row>
    <row r="264" spans="1:8" x14ac:dyDescent="0.3">
      <c r="A264" t="s">
        <v>778</v>
      </c>
      <c r="B264" t="s">
        <v>23</v>
      </c>
      <c r="C264" t="s">
        <v>0</v>
      </c>
      <c r="D264">
        <v>64.08</v>
      </c>
      <c r="E264" t="s">
        <v>42</v>
      </c>
      <c r="F264" t="s">
        <v>40</v>
      </c>
      <c r="G264" t="s">
        <v>24</v>
      </c>
      <c r="H264" t="s">
        <v>25</v>
      </c>
    </row>
    <row r="265" spans="1:8" x14ac:dyDescent="0.3">
      <c r="A265" t="s">
        <v>779</v>
      </c>
      <c r="B265" t="s">
        <v>665</v>
      </c>
      <c r="C265" t="s">
        <v>0</v>
      </c>
      <c r="D265">
        <v>16.96</v>
      </c>
      <c r="E265" t="s">
        <v>161</v>
      </c>
      <c r="F265" t="s">
        <v>30</v>
      </c>
      <c r="G265" t="s">
        <v>666</v>
      </c>
      <c r="H265" t="s">
        <v>264</v>
      </c>
    </row>
    <row r="266" spans="1:8" x14ac:dyDescent="0.3">
      <c r="A266" t="s">
        <v>780</v>
      </c>
      <c r="B266" t="s">
        <v>667</v>
      </c>
      <c r="C266" t="s">
        <v>0</v>
      </c>
      <c r="D266">
        <v>37.520000000000003</v>
      </c>
      <c r="E266" t="s">
        <v>214</v>
      </c>
      <c r="F266" t="s">
        <v>29</v>
      </c>
      <c r="G266" t="s">
        <v>222</v>
      </c>
      <c r="H266" t="s">
        <v>103</v>
      </c>
    </row>
    <row r="267" spans="1:8" x14ac:dyDescent="0.3">
      <c r="A267" t="s">
        <v>781</v>
      </c>
      <c r="B267" t="s">
        <v>668</v>
      </c>
      <c r="C267" t="s">
        <v>0</v>
      </c>
      <c r="D267">
        <v>56.47</v>
      </c>
      <c r="E267" t="s">
        <v>76</v>
      </c>
      <c r="F267" t="s">
        <v>40</v>
      </c>
      <c r="G267" t="s">
        <v>669</v>
      </c>
      <c r="H267" t="s">
        <v>115</v>
      </c>
    </row>
    <row r="268" spans="1:8" x14ac:dyDescent="0.3">
      <c r="A268" t="s">
        <v>782</v>
      </c>
      <c r="B268" t="s">
        <v>670</v>
      </c>
      <c r="C268" t="s">
        <v>0</v>
      </c>
      <c r="D268">
        <v>42.39</v>
      </c>
      <c r="E268" t="s">
        <v>178</v>
      </c>
      <c r="F268" t="s">
        <v>29</v>
      </c>
      <c r="G268" t="s">
        <v>671</v>
      </c>
      <c r="H268" t="s">
        <v>206</v>
      </c>
    </row>
    <row r="269" spans="1:8" x14ac:dyDescent="0.3">
      <c r="A269" t="s">
        <v>783</v>
      </c>
      <c r="B269" t="s">
        <v>672</v>
      </c>
      <c r="C269" t="s">
        <v>0</v>
      </c>
      <c r="D269">
        <v>32.68</v>
      </c>
      <c r="E269" t="s">
        <v>138</v>
      </c>
      <c r="F269" t="s">
        <v>226</v>
      </c>
      <c r="G269" t="s">
        <v>275</v>
      </c>
      <c r="H269" t="s">
        <v>20</v>
      </c>
    </row>
    <row r="270" spans="1:8" x14ac:dyDescent="0.3">
      <c r="A270" t="s">
        <v>784</v>
      </c>
      <c r="B270" t="s">
        <v>673</v>
      </c>
      <c r="C270" t="s">
        <v>0</v>
      </c>
      <c r="D270">
        <v>29.88</v>
      </c>
      <c r="E270" t="s">
        <v>41</v>
      </c>
      <c r="F270" t="s">
        <v>151</v>
      </c>
      <c r="G270" t="s">
        <v>674</v>
      </c>
      <c r="H270" t="s">
        <v>172</v>
      </c>
    </row>
    <row r="271" spans="1:8" x14ac:dyDescent="0.3">
      <c r="A271" t="s">
        <v>785</v>
      </c>
      <c r="B271" t="s">
        <v>615</v>
      </c>
      <c r="C271" t="s">
        <v>0</v>
      </c>
      <c r="D271">
        <v>36.619999999999997</v>
      </c>
      <c r="E271" t="s">
        <v>139</v>
      </c>
      <c r="F271" t="s">
        <v>29</v>
      </c>
      <c r="G271" t="s">
        <v>424</v>
      </c>
      <c r="H271" t="s">
        <v>54</v>
      </c>
    </row>
    <row r="272" spans="1:8" x14ac:dyDescent="0.3">
      <c r="A272" t="s">
        <v>786</v>
      </c>
      <c r="B272" t="s">
        <v>787</v>
      </c>
      <c r="C272" t="s">
        <v>0</v>
      </c>
      <c r="D272">
        <v>42.52</v>
      </c>
      <c r="E272" t="s">
        <v>209</v>
      </c>
      <c r="F272" t="s">
        <v>29</v>
      </c>
      <c r="G272" t="s">
        <v>463</v>
      </c>
      <c r="H272" t="s">
        <v>116</v>
      </c>
    </row>
    <row r="273" spans="1:8" x14ac:dyDescent="0.3">
      <c r="A273" t="s">
        <v>788</v>
      </c>
      <c r="B273" t="s">
        <v>121</v>
      </c>
      <c r="C273" t="s">
        <v>0</v>
      </c>
      <c r="D273">
        <v>60.25</v>
      </c>
      <c r="E273" t="s">
        <v>122</v>
      </c>
      <c r="F273" t="s">
        <v>97</v>
      </c>
      <c r="G273" t="s">
        <v>123</v>
      </c>
      <c r="H273" t="s">
        <v>124</v>
      </c>
    </row>
    <row r="274" spans="1:8" x14ac:dyDescent="0.3">
      <c r="A274" t="s">
        <v>789</v>
      </c>
      <c r="B274" t="s">
        <v>675</v>
      </c>
      <c r="C274" t="s">
        <v>0</v>
      </c>
      <c r="D274">
        <v>47.11</v>
      </c>
      <c r="E274" t="s">
        <v>252</v>
      </c>
      <c r="F274" t="s">
        <v>29</v>
      </c>
      <c r="G274" t="s">
        <v>487</v>
      </c>
      <c r="H274" t="s">
        <v>52</v>
      </c>
    </row>
    <row r="275" spans="1:8" x14ac:dyDescent="0.3">
      <c r="A275" t="s">
        <v>790</v>
      </c>
      <c r="B275" t="s">
        <v>541</v>
      </c>
      <c r="C275" t="s">
        <v>0</v>
      </c>
      <c r="D275">
        <v>40.22</v>
      </c>
      <c r="E275" t="s">
        <v>195</v>
      </c>
      <c r="F275" t="s">
        <v>29</v>
      </c>
      <c r="G275" t="s">
        <v>542</v>
      </c>
      <c r="H275" t="s">
        <v>74</v>
      </c>
    </row>
    <row r="276" spans="1:8" x14ac:dyDescent="0.3">
      <c r="A276" t="s">
        <v>791</v>
      </c>
      <c r="B276" t="s">
        <v>597</v>
      </c>
      <c r="C276" t="s">
        <v>0</v>
      </c>
      <c r="D276">
        <v>63.57</v>
      </c>
      <c r="E276" t="s">
        <v>452</v>
      </c>
      <c r="F276" t="s">
        <v>40</v>
      </c>
      <c r="G276" t="s">
        <v>598</v>
      </c>
      <c r="H276" t="s">
        <v>92</v>
      </c>
    </row>
    <row r="277" spans="1:8" x14ac:dyDescent="0.3">
      <c r="A277" t="s">
        <v>792</v>
      </c>
      <c r="B277" t="s">
        <v>580</v>
      </c>
      <c r="C277" t="s">
        <v>0</v>
      </c>
      <c r="D277">
        <v>38.17</v>
      </c>
      <c r="E277" t="s">
        <v>415</v>
      </c>
      <c r="F277" t="s">
        <v>29</v>
      </c>
      <c r="G277" t="s">
        <v>537</v>
      </c>
      <c r="H277" t="s">
        <v>421</v>
      </c>
    </row>
    <row r="278" spans="1:8" x14ac:dyDescent="0.3">
      <c r="A278" t="s">
        <v>793</v>
      </c>
      <c r="B278" t="s">
        <v>676</v>
      </c>
      <c r="C278" t="s">
        <v>0</v>
      </c>
      <c r="D278">
        <v>11.26</v>
      </c>
      <c r="E278" t="s">
        <v>65</v>
      </c>
      <c r="F278" t="s">
        <v>171</v>
      </c>
      <c r="G278" t="s">
        <v>193</v>
      </c>
      <c r="H278" t="s">
        <v>184</v>
      </c>
    </row>
    <row r="279" spans="1:8" x14ac:dyDescent="0.3">
      <c r="A279" t="s">
        <v>794</v>
      </c>
      <c r="B279" t="s">
        <v>527</v>
      </c>
      <c r="C279" t="s">
        <v>0</v>
      </c>
      <c r="D279">
        <v>43.74</v>
      </c>
      <c r="E279" t="s">
        <v>31</v>
      </c>
      <c r="F279" t="s">
        <v>29</v>
      </c>
      <c r="G279" t="s">
        <v>453</v>
      </c>
      <c r="H279" t="s">
        <v>528</v>
      </c>
    </row>
    <row r="280" spans="1:8" x14ac:dyDescent="0.3">
      <c r="A280" t="s">
        <v>795</v>
      </c>
      <c r="B280" t="s">
        <v>677</v>
      </c>
      <c r="C280" t="s">
        <v>0</v>
      </c>
      <c r="D280">
        <v>64.27</v>
      </c>
      <c r="E280" t="s">
        <v>42</v>
      </c>
      <c r="F280" t="s">
        <v>40</v>
      </c>
      <c r="G280" t="s">
        <v>231</v>
      </c>
      <c r="H280" t="s">
        <v>80</v>
      </c>
    </row>
    <row r="281" spans="1:8" x14ac:dyDescent="0.3">
      <c r="A281" t="s">
        <v>796</v>
      </c>
      <c r="B281" t="s">
        <v>678</v>
      </c>
      <c r="C281" t="s">
        <v>0</v>
      </c>
      <c r="D281">
        <v>27.21</v>
      </c>
      <c r="E281" t="s">
        <v>108</v>
      </c>
      <c r="F281" t="s">
        <v>35</v>
      </c>
      <c r="G281" t="s">
        <v>559</v>
      </c>
      <c r="H281" t="s">
        <v>185</v>
      </c>
    </row>
    <row r="282" spans="1:8" x14ac:dyDescent="0.3">
      <c r="A282" t="s">
        <v>797</v>
      </c>
      <c r="B282" t="s">
        <v>679</v>
      </c>
      <c r="C282" t="s">
        <v>0</v>
      </c>
      <c r="D282">
        <v>49.47</v>
      </c>
      <c r="E282" t="s">
        <v>432</v>
      </c>
      <c r="F282" t="s">
        <v>125</v>
      </c>
      <c r="G282" t="s">
        <v>450</v>
      </c>
      <c r="H282" t="s">
        <v>14</v>
      </c>
    </row>
    <row r="283" spans="1:8" x14ac:dyDescent="0.3">
      <c r="A283" t="s">
        <v>798</v>
      </c>
      <c r="B283" t="s">
        <v>680</v>
      </c>
      <c r="C283" t="s">
        <v>0</v>
      </c>
      <c r="D283">
        <v>6.23</v>
      </c>
      <c r="E283" t="s">
        <v>32</v>
      </c>
      <c r="F283" t="s">
        <v>681</v>
      </c>
      <c r="G283" t="s">
        <v>682</v>
      </c>
      <c r="H283" t="s">
        <v>145</v>
      </c>
    </row>
    <row r="284" spans="1:8" x14ac:dyDescent="0.3">
      <c r="A284" t="s">
        <v>799</v>
      </c>
      <c r="B284" t="s">
        <v>683</v>
      </c>
      <c r="C284" t="s">
        <v>0</v>
      </c>
      <c r="D284">
        <v>11.94</v>
      </c>
      <c r="E284" t="s">
        <v>53</v>
      </c>
      <c r="F284" t="s">
        <v>33</v>
      </c>
      <c r="G284" t="s">
        <v>684</v>
      </c>
      <c r="H284" t="s">
        <v>18</v>
      </c>
    </row>
    <row r="285" spans="1:8" x14ac:dyDescent="0.3">
      <c r="A285" t="s">
        <v>800</v>
      </c>
      <c r="B285" t="s">
        <v>685</v>
      </c>
      <c r="C285" t="s">
        <v>0</v>
      </c>
      <c r="D285">
        <v>34</v>
      </c>
      <c r="E285" t="s">
        <v>41</v>
      </c>
      <c r="F285" t="s">
        <v>29</v>
      </c>
      <c r="G285" t="s">
        <v>163</v>
      </c>
      <c r="H285" t="s">
        <v>92</v>
      </c>
    </row>
    <row r="286" spans="1:8" x14ac:dyDescent="0.3">
      <c r="A286" t="s">
        <v>801</v>
      </c>
      <c r="B286" t="s">
        <v>159</v>
      </c>
      <c r="C286" t="s">
        <v>0</v>
      </c>
      <c r="D286">
        <v>6.38</v>
      </c>
      <c r="E286" t="s">
        <v>42</v>
      </c>
      <c r="F286" t="s">
        <v>30</v>
      </c>
      <c r="G286" t="s">
        <v>69</v>
      </c>
      <c r="H286" t="s">
        <v>52</v>
      </c>
    </row>
    <row r="287" spans="1:8" x14ac:dyDescent="0.3">
      <c r="A287" t="s">
        <v>802</v>
      </c>
      <c r="B287" t="s">
        <v>491</v>
      </c>
      <c r="C287" t="s">
        <v>0</v>
      </c>
      <c r="D287">
        <v>47.57</v>
      </c>
      <c r="E287" t="s">
        <v>84</v>
      </c>
      <c r="F287" t="s">
        <v>29</v>
      </c>
      <c r="G287" t="s">
        <v>492</v>
      </c>
      <c r="H287" t="s">
        <v>112</v>
      </c>
    </row>
    <row r="288" spans="1:8" x14ac:dyDescent="0.3">
      <c r="A288" t="s">
        <v>303</v>
      </c>
      <c r="B288" t="s">
        <v>304</v>
      </c>
      <c r="C288" t="s">
        <v>0</v>
      </c>
      <c r="D288">
        <v>49.27</v>
      </c>
      <c r="E288" t="s">
        <v>131</v>
      </c>
      <c r="F288" t="s">
        <v>30</v>
      </c>
      <c r="G288" t="s">
        <v>118</v>
      </c>
      <c r="H288" t="s">
        <v>172</v>
      </c>
    </row>
    <row r="289" spans="1:8" x14ac:dyDescent="0.3">
      <c r="A289" t="s">
        <v>803</v>
      </c>
      <c r="B289" t="s">
        <v>305</v>
      </c>
      <c r="C289" t="s">
        <v>0</v>
      </c>
      <c r="D289">
        <v>85.37</v>
      </c>
      <c r="E289" t="s">
        <v>117</v>
      </c>
      <c r="F289" t="s">
        <v>306</v>
      </c>
      <c r="G289" t="s">
        <v>307</v>
      </c>
      <c r="H289" t="s">
        <v>119</v>
      </c>
    </row>
    <row r="290" spans="1:8" x14ac:dyDescent="0.3">
      <c r="A290" t="s">
        <v>804</v>
      </c>
      <c r="B290" t="s">
        <v>686</v>
      </c>
      <c r="C290" t="s">
        <v>0</v>
      </c>
      <c r="D290">
        <v>75.5</v>
      </c>
      <c r="E290" t="s">
        <v>49</v>
      </c>
      <c r="F290" t="s">
        <v>687</v>
      </c>
      <c r="G290" t="s">
        <v>179</v>
      </c>
      <c r="H290" t="s">
        <v>232</v>
      </c>
    </row>
    <row r="291" spans="1:8" x14ac:dyDescent="0.3">
      <c r="A291" t="s">
        <v>805</v>
      </c>
      <c r="B291" t="s">
        <v>688</v>
      </c>
      <c r="C291" t="s">
        <v>0</v>
      </c>
      <c r="D291">
        <v>40.24</v>
      </c>
      <c r="E291" t="s">
        <v>49</v>
      </c>
      <c r="F291" t="s">
        <v>29</v>
      </c>
      <c r="G291" t="s">
        <v>511</v>
      </c>
      <c r="H291" t="s">
        <v>273</v>
      </c>
    </row>
    <row r="292" spans="1:8" x14ac:dyDescent="0.3">
      <c r="A292" t="s">
        <v>806</v>
      </c>
      <c r="B292" t="s">
        <v>397</v>
      </c>
      <c r="C292" t="s">
        <v>0</v>
      </c>
      <c r="D292">
        <v>42.84</v>
      </c>
      <c r="E292" t="s">
        <v>174</v>
      </c>
      <c r="F292" t="s">
        <v>29</v>
      </c>
      <c r="G292" t="s">
        <v>381</v>
      </c>
      <c r="H292" t="s">
        <v>54</v>
      </c>
    </row>
    <row r="293" spans="1:8" x14ac:dyDescent="0.3">
      <c r="A293" t="s">
        <v>807</v>
      </c>
      <c r="B293" t="s">
        <v>689</v>
      </c>
      <c r="C293" t="s">
        <v>0</v>
      </c>
      <c r="D293">
        <v>41.83</v>
      </c>
      <c r="E293" t="s">
        <v>167</v>
      </c>
      <c r="F293" t="s">
        <v>29</v>
      </c>
      <c r="G293" t="s">
        <v>438</v>
      </c>
      <c r="H293" t="s">
        <v>12</v>
      </c>
    </row>
    <row r="294" spans="1:8" x14ac:dyDescent="0.3">
      <c r="A294" t="s">
        <v>808</v>
      </c>
      <c r="B294" t="s">
        <v>690</v>
      </c>
      <c r="C294" t="s">
        <v>0</v>
      </c>
      <c r="D294">
        <v>3</v>
      </c>
      <c r="E294" t="s">
        <v>45</v>
      </c>
      <c r="F294" t="s">
        <v>33</v>
      </c>
      <c r="G294" t="s">
        <v>691</v>
      </c>
      <c r="H294" t="s">
        <v>291</v>
      </c>
    </row>
    <row r="295" spans="1:8" x14ac:dyDescent="0.3">
      <c r="A295" t="s">
        <v>809</v>
      </c>
      <c r="B295" t="s">
        <v>692</v>
      </c>
      <c r="C295" t="s">
        <v>0</v>
      </c>
      <c r="D295">
        <v>5</v>
      </c>
      <c r="E295" t="s">
        <v>149</v>
      </c>
      <c r="F295" t="s">
        <v>33</v>
      </c>
      <c r="G295" t="s">
        <v>488</v>
      </c>
      <c r="H295" t="s">
        <v>160</v>
      </c>
    </row>
    <row r="296" spans="1:8" x14ac:dyDescent="0.3">
      <c r="A296" t="s">
        <v>810</v>
      </c>
      <c r="B296" t="s">
        <v>546</v>
      </c>
      <c r="C296" t="s">
        <v>0</v>
      </c>
      <c r="D296">
        <v>5</v>
      </c>
      <c r="E296" t="s">
        <v>85</v>
      </c>
      <c r="F296" t="s">
        <v>33</v>
      </c>
      <c r="G296" t="s">
        <v>547</v>
      </c>
      <c r="H296" t="s">
        <v>234</v>
      </c>
    </row>
    <row r="297" spans="1:8" x14ac:dyDescent="0.3">
      <c r="A297" t="s">
        <v>811</v>
      </c>
      <c r="B297" t="s">
        <v>693</v>
      </c>
      <c r="C297" t="s">
        <v>0</v>
      </c>
      <c r="D297">
        <v>29.92</v>
      </c>
      <c r="E297" t="s">
        <v>108</v>
      </c>
      <c r="F297" t="s">
        <v>35</v>
      </c>
      <c r="G297" t="s">
        <v>694</v>
      </c>
      <c r="H297" t="s">
        <v>112</v>
      </c>
    </row>
    <row r="298" spans="1:8" x14ac:dyDescent="0.3">
      <c r="A298" t="s">
        <v>812</v>
      </c>
      <c r="B298" t="s">
        <v>695</v>
      </c>
      <c r="C298" t="s">
        <v>0</v>
      </c>
      <c r="D298">
        <v>56.5</v>
      </c>
      <c r="E298" t="s">
        <v>258</v>
      </c>
      <c r="F298" t="s">
        <v>29</v>
      </c>
      <c r="G298" t="s">
        <v>696</v>
      </c>
      <c r="H298" t="s">
        <v>115</v>
      </c>
    </row>
    <row r="299" spans="1:8" x14ac:dyDescent="0.3">
      <c r="A299" t="s">
        <v>813</v>
      </c>
      <c r="B299" t="s">
        <v>697</v>
      </c>
      <c r="C299" t="s">
        <v>0</v>
      </c>
      <c r="D299">
        <v>79.42</v>
      </c>
      <c r="E299" t="s">
        <v>308</v>
      </c>
      <c r="F299" t="s">
        <v>205</v>
      </c>
      <c r="G299" t="s">
        <v>474</v>
      </c>
      <c r="H299" t="s">
        <v>22</v>
      </c>
    </row>
    <row r="300" spans="1:8" x14ac:dyDescent="0.3">
      <c r="A300" t="s">
        <v>814</v>
      </c>
      <c r="B300" t="s">
        <v>698</v>
      </c>
      <c r="C300" t="s">
        <v>0</v>
      </c>
      <c r="D300">
        <v>32.880000000000003</v>
      </c>
      <c r="E300" t="s">
        <v>135</v>
      </c>
      <c r="F300" t="s">
        <v>512</v>
      </c>
      <c r="G300" t="s">
        <v>513</v>
      </c>
      <c r="H300" t="s">
        <v>54</v>
      </c>
    </row>
    <row r="301" spans="1:8" x14ac:dyDescent="0.3">
      <c r="A301" t="s">
        <v>815</v>
      </c>
      <c r="B301" t="s">
        <v>481</v>
      </c>
      <c r="C301" t="s">
        <v>0</v>
      </c>
      <c r="D301">
        <v>27.98</v>
      </c>
      <c r="E301" t="s">
        <v>138</v>
      </c>
      <c r="F301" t="s">
        <v>29</v>
      </c>
      <c r="G301" t="s">
        <v>482</v>
      </c>
      <c r="H301" t="s">
        <v>12</v>
      </c>
    </row>
    <row r="302" spans="1:8" x14ac:dyDescent="0.3">
      <c r="A302" t="s">
        <v>816</v>
      </c>
      <c r="B302" t="s">
        <v>699</v>
      </c>
      <c r="C302" t="s">
        <v>0</v>
      </c>
      <c r="D302">
        <v>33.47</v>
      </c>
      <c r="E302" t="s">
        <v>49</v>
      </c>
      <c r="F302" t="s">
        <v>29</v>
      </c>
      <c r="G302" t="s">
        <v>700</v>
      </c>
      <c r="H302" t="s">
        <v>54</v>
      </c>
    </row>
    <row r="303" spans="1:8" x14ac:dyDescent="0.3">
      <c r="A303" t="s">
        <v>817</v>
      </c>
      <c r="B303" t="s">
        <v>548</v>
      </c>
      <c r="C303" t="s">
        <v>0</v>
      </c>
      <c r="D303">
        <v>11.17</v>
      </c>
      <c r="E303" t="s">
        <v>65</v>
      </c>
      <c r="F303" t="s">
        <v>30</v>
      </c>
      <c r="G303" t="s">
        <v>549</v>
      </c>
      <c r="H303" t="s">
        <v>246</v>
      </c>
    </row>
    <row r="304" spans="1:8" x14ac:dyDescent="0.3">
      <c r="A304" t="s">
        <v>818</v>
      </c>
      <c r="B304" t="s">
        <v>701</v>
      </c>
      <c r="C304" t="s">
        <v>0</v>
      </c>
      <c r="D304">
        <v>46.23</v>
      </c>
      <c r="E304" t="s">
        <v>535</v>
      </c>
      <c r="F304" t="s">
        <v>29</v>
      </c>
      <c r="G304" t="s">
        <v>702</v>
      </c>
      <c r="H304" t="s">
        <v>18</v>
      </c>
    </row>
    <row r="305" spans="1:8" x14ac:dyDescent="0.3">
      <c r="A305" t="s">
        <v>479</v>
      </c>
      <c r="B305" t="s">
        <v>480</v>
      </c>
      <c r="C305" t="s">
        <v>0</v>
      </c>
      <c r="D305">
        <v>30.46</v>
      </c>
      <c r="E305" t="s">
        <v>70</v>
      </c>
      <c r="F305" t="s">
        <v>30</v>
      </c>
      <c r="G305" t="s">
        <v>478</v>
      </c>
      <c r="H305" t="s">
        <v>74</v>
      </c>
    </row>
    <row r="306" spans="1:8" x14ac:dyDescent="0.3">
      <c r="A306" t="s">
        <v>152</v>
      </c>
      <c r="B306" t="s">
        <v>153</v>
      </c>
      <c r="C306" t="s">
        <v>0</v>
      </c>
      <c r="D306">
        <v>15.84</v>
      </c>
      <c r="E306" t="s">
        <v>154</v>
      </c>
      <c r="F306" t="s">
        <v>30</v>
      </c>
      <c r="G306" t="s">
        <v>155</v>
      </c>
      <c r="H306" t="s">
        <v>68</v>
      </c>
    </row>
    <row r="307" spans="1:8" x14ac:dyDescent="0.3">
      <c r="A307" t="s">
        <v>819</v>
      </c>
      <c r="B307" t="s">
        <v>244</v>
      </c>
      <c r="C307" t="s">
        <v>0</v>
      </c>
      <c r="D307">
        <v>4</v>
      </c>
      <c r="E307" t="s">
        <v>170</v>
      </c>
      <c r="F307" t="s">
        <v>236</v>
      </c>
      <c r="G307" t="s">
        <v>140</v>
      </c>
      <c r="H307" t="s">
        <v>144</v>
      </c>
    </row>
    <row r="308" spans="1:8" x14ac:dyDescent="0.3">
      <c r="A308" t="s">
        <v>820</v>
      </c>
      <c r="B308" t="s">
        <v>408</v>
      </c>
      <c r="C308" t="s">
        <v>0</v>
      </c>
      <c r="D308">
        <v>36.92</v>
      </c>
      <c r="E308" t="s">
        <v>235</v>
      </c>
      <c r="F308" t="s">
        <v>27</v>
      </c>
      <c r="G308" t="s">
        <v>409</v>
      </c>
      <c r="H308" t="s">
        <v>12</v>
      </c>
    </row>
    <row r="309" spans="1:8" x14ac:dyDescent="0.3">
      <c r="A309" t="s">
        <v>821</v>
      </c>
      <c r="B309" t="s">
        <v>703</v>
      </c>
      <c r="C309" t="s">
        <v>0</v>
      </c>
      <c r="D309">
        <v>11.12</v>
      </c>
      <c r="E309" t="s">
        <v>45</v>
      </c>
      <c r="F309" t="s">
        <v>57</v>
      </c>
      <c r="G309" t="s">
        <v>58</v>
      </c>
      <c r="H309" t="s">
        <v>22</v>
      </c>
    </row>
    <row r="310" spans="1:8" x14ac:dyDescent="0.3">
      <c r="A310" t="s">
        <v>822</v>
      </c>
      <c r="B310" t="s">
        <v>704</v>
      </c>
      <c r="C310" t="s">
        <v>0</v>
      </c>
      <c r="D310">
        <v>42.11</v>
      </c>
      <c r="E310" t="s">
        <v>214</v>
      </c>
      <c r="F310" t="s">
        <v>29</v>
      </c>
      <c r="G310" t="s">
        <v>438</v>
      </c>
      <c r="H310" t="s">
        <v>273</v>
      </c>
    </row>
    <row r="311" spans="1:8" x14ac:dyDescent="0.3">
      <c r="A311" t="s">
        <v>823</v>
      </c>
      <c r="B311" t="s">
        <v>260</v>
      </c>
      <c r="C311" t="s">
        <v>0</v>
      </c>
      <c r="D311">
        <v>65.319999999999993</v>
      </c>
      <c r="E311" t="s">
        <v>261</v>
      </c>
      <c r="F311" t="s">
        <v>262</v>
      </c>
      <c r="G311" t="s">
        <v>263</v>
      </c>
      <c r="H311" t="s">
        <v>14</v>
      </c>
    </row>
    <row r="312" spans="1:8" x14ac:dyDescent="0.3">
      <c r="A312" t="s">
        <v>824</v>
      </c>
      <c r="B312" t="s">
        <v>705</v>
      </c>
      <c r="C312" t="s">
        <v>0</v>
      </c>
      <c r="D312">
        <v>12.46</v>
      </c>
      <c r="E312" t="s">
        <v>38</v>
      </c>
      <c r="F312" t="s">
        <v>86</v>
      </c>
      <c r="G312" t="s">
        <v>706</v>
      </c>
      <c r="H312" t="s">
        <v>18</v>
      </c>
    </row>
    <row r="313" spans="1:8" x14ac:dyDescent="0.3">
      <c r="A313" t="s">
        <v>825</v>
      </c>
      <c r="B313" t="s">
        <v>459</v>
      </c>
      <c r="C313" t="s">
        <v>0</v>
      </c>
      <c r="D313">
        <v>42.7</v>
      </c>
      <c r="E313" t="s">
        <v>98</v>
      </c>
      <c r="F313" t="s">
        <v>29</v>
      </c>
      <c r="G313" t="s">
        <v>460</v>
      </c>
      <c r="H313" t="s">
        <v>181</v>
      </c>
    </row>
    <row r="314" spans="1:8" x14ac:dyDescent="0.3">
      <c r="A314" t="s">
        <v>826</v>
      </c>
      <c r="B314" t="s">
        <v>707</v>
      </c>
      <c r="C314" t="s">
        <v>0</v>
      </c>
      <c r="D314">
        <v>75</v>
      </c>
      <c r="E314" t="s">
        <v>251</v>
      </c>
      <c r="F314" t="s">
        <v>708</v>
      </c>
      <c r="G314" t="s">
        <v>709</v>
      </c>
      <c r="H314" t="s">
        <v>710</v>
      </c>
    </row>
    <row r="315" spans="1:8" x14ac:dyDescent="0.3">
      <c r="A315" t="s">
        <v>827</v>
      </c>
      <c r="B315" t="s">
        <v>711</v>
      </c>
      <c r="C315" t="s">
        <v>0</v>
      </c>
      <c r="D315">
        <v>37.03</v>
      </c>
      <c r="E315" t="s">
        <v>277</v>
      </c>
      <c r="F315" t="s">
        <v>35</v>
      </c>
      <c r="G315" t="s">
        <v>712</v>
      </c>
      <c r="H315" t="s">
        <v>15</v>
      </c>
    </row>
    <row r="316" spans="1:8" x14ac:dyDescent="0.3">
      <c r="A316" t="s">
        <v>828</v>
      </c>
      <c r="B316" t="s">
        <v>405</v>
      </c>
      <c r="C316" t="s">
        <v>0</v>
      </c>
      <c r="D316">
        <v>24.16</v>
      </c>
      <c r="E316" t="s">
        <v>173</v>
      </c>
      <c r="F316" t="s">
        <v>406</v>
      </c>
      <c r="G316" t="s">
        <v>407</v>
      </c>
      <c r="H316" t="s">
        <v>64</v>
      </c>
    </row>
    <row r="317" spans="1:8" x14ac:dyDescent="0.3">
      <c r="A317" t="s">
        <v>829</v>
      </c>
      <c r="B317" t="s">
        <v>469</v>
      </c>
      <c r="C317" t="s">
        <v>0</v>
      </c>
      <c r="D317">
        <v>48.59</v>
      </c>
      <c r="E317" t="s">
        <v>36</v>
      </c>
      <c r="F317" t="s">
        <v>97</v>
      </c>
      <c r="G317" t="s">
        <v>470</v>
      </c>
      <c r="H317" t="s">
        <v>18</v>
      </c>
    </row>
    <row r="318" spans="1:8" x14ac:dyDescent="0.3">
      <c r="A318" t="s">
        <v>830</v>
      </c>
      <c r="B318" t="s">
        <v>576</v>
      </c>
      <c r="C318" t="s">
        <v>0</v>
      </c>
      <c r="D318">
        <v>47.2</v>
      </c>
      <c r="E318" t="s">
        <v>67</v>
      </c>
      <c r="F318" t="s">
        <v>27</v>
      </c>
      <c r="G318" t="s">
        <v>577</v>
      </c>
      <c r="H318" t="s">
        <v>59</v>
      </c>
    </row>
    <row r="319" spans="1:8" x14ac:dyDescent="0.3">
      <c r="A319" t="s">
        <v>831</v>
      </c>
      <c r="B319" t="s">
        <v>713</v>
      </c>
      <c r="C319" t="s">
        <v>0</v>
      </c>
      <c r="D319">
        <v>47.01</v>
      </c>
      <c r="E319" t="s">
        <v>135</v>
      </c>
      <c r="F319" t="s">
        <v>714</v>
      </c>
      <c r="G319" t="s">
        <v>715</v>
      </c>
      <c r="H319" t="s">
        <v>14</v>
      </c>
    </row>
    <row r="320" spans="1:8" x14ac:dyDescent="0.3">
      <c r="A320" t="s">
        <v>832</v>
      </c>
      <c r="B320" t="s">
        <v>716</v>
      </c>
      <c r="C320" t="s">
        <v>0</v>
      </c>
      <c r="D320">
        <v>31.88</v>
      </c>
      <c r="E320" t="s">
        <v>189</v>
      </c>
      <c r="F320" t="s">
        <v>29</v>
      </c>
      <c r="G320" t="s">
        <v>360</v>
      </c>
      <c r="H320" t="s">
        <v>116</v>
      </c>
    </row>
    <row r="321" spans="1:8" x14ac:dyDescent="0.3">
      <c r="A321" t="s">
        <v>833</v>
      </c>
      <c r="B321" t="s">
        <v>717</v>
      </c>
      <c r="C321" t="s">
        <v>0</v>
      </c>
      <c r="D321">
        <v>36.700000000000003</v>
      </c>
      <c r="E321" t="s">
        <v>529</v>
      </c>
      <c r="F321" t="s">
        <v>27</v>
      </c>
      <c r="G321" t="s">
        <v>568</v>
      </c>
      <c r="H321" t="s">
        <v>181</v>
      </c>
    </row>
    <row r="322" spans="1:8" x14ac:dyDescent="0.3">
      <c r="A322" t="s">
        <v>834</v>
      </c>
      <c r="B322" t="s">
        <v>718</v>
      </c>
      <c r="C322" t="s">
        <v>0</v>
      </c>
      <c r="D322">
        <v>26.83</v>
      </c>
      <c r="E322" t="s">
        <v>240</v>
      </c>
      <c r="F322" t="s">
        <v>47</v>
      </c>
      <c r="G322" t="s">
        <v>468</v>
      </c>
      <c r="H322" t="s">
        <v>326</v>
      </c>
    </row>
    <row r="323" spans="1:8" x14ac:dyDescent="0.3">
      <c r="A323" t="s">
        <v>835</v>
      </c>
      <c r="B323" t="s">
        <v>719</v>
      </c>
      <c r="C323" t="s">
        <v>0</v>
      </c>
      <c r="D323">
        <v>29.04</v>
      </c>
      <c r="E323" t="s">
        <v>37</v>
      </c>
      <c r="F323" t="s">
        <v>29</v>
      </c>
      <c r="G323" t="s">
        <v>105</v>
      </c>
      <c r="H323" t="s">
        <v>106</v>
      </c>
    </row>
    <row r="324" spans="1:8" x14ac:dyDescent="0.3">
      <c r="A324" t="s">
        <v>836</v>
      </c>
      <c r="B324" t="s">
        <v>612</v>
      </c>
      <c r="C324" t="s">
        <v>0</v>
      </c>
      <c r="D324">
        <v>41.5</v>
      </c>
      <c r="E324" t="s">
        <v>55</v>
      </c>
      <c r="F324" t="s">
        <v>27</v>
      </c>
      <c r="G324" t="s">
        <v>613</v>
      </c>
      <c r="H324" t="s">
        <v>115</v>
      </c>
    </row>
    <row r="325" spans="1:8" x14ac:dyDescent="0.3">
      <c r="A325" t="s">
        <v>837</v>
      </c>
      <c r="B325" t="s">
        <v>720</v>
      </c>
      <c r="C325" t="s">
        <v>0</v>
      </c>
      <c r="D325">
        <v>52.28</v>
      </c>
      <c r="E325" t="s">
        <v>426</v>
      </c>
      <c r="F325" t="s">
        <v>721</v>
      </c>
      <c r="G325" t="s">
        <v>722</v>
      </c>
      <c r="H325" t="s">
        <v>115</v>
      </c>
    </row>
    <row r="326" spans="1:8" x14ac:dyDescent="0.3">
      <c r="A326" t="s">
        <v>838</v>
      </c>
      <c r="B326" t="s">
        <v>435</v>
      </c>
      <c r="C326" t="s">
        <v>0</v>
      </c>
      <c r="D326">
        <v>64.97</v>
      </c>
      <c r="E326" t="s">
        <v>233</v>
      </c>
      <c r="F326" t="s">
        <v>29</v>
      </c>
      <c r="G326" t="s">
        <v>436</v>
      </c>
      <c r="H326" t="s">
        <v>221</v>
      </c>
    </row>
    <row r="327" spans="1:8" x14ac:dyDescent="0.3">
      <c r="A327" t="s">
        <v>839</v>
      </c>
      <c r="B327" t="s">
        <v>508</v>
      </c>
      <c r="C327" t="s">
        <v>0</v>
      </c>
      <c r="D327">
        <v>28.69</v>
      </c>
      <c r="E327" t="s">
        <v>135</v>
      </c>
      <c r="F327" t="s">
        <v>509</v>
      </c>
      <c r="G327" t="s">
        <v>510</v>
      </c>
      <c r="H327" t="s">
        <v>60</v>
      </c>
    </row>
    <row r="328" spans="1:8" x14ac:dyDescent="0.3">
      <c r="A328" t="s">
        <v>840</v>
      </c>
      <c r="B328" t="s">
        <v>294</v>
      </c>
      <c r="C328" t="s">
        <v>0</v>
      </c>
      <c r="D328">
        <v>26.71</v>
      </c>
      <c r="E328" t="s">
        <v>114</v>
      </c>
      <c r="F328" t="s">
        <v>295</v>
      </c>
      <c r="G328" t="s">
        <v>296</v>
      </c>
      <c r="H328" t="s">
        <v>14</v>
      </c>
    </row>
    <row r="329" spans="1:8" x14ac:dyDescent="0.3">
      <c r="A329" t="s">
        <v>841</v>
      </c>
      <c r="B329" t="s">
        <v>543</v>
      </c>
      <c r="C329" t="s">
        <v>0</v>
      </c>
      <c r="D329">
        <v>68.89</v>
      </c>
      <c r="E329" t="s">
        <v>204</v>
      </c>
      <c r="F329" t="s">
        <v>544</v>
      </c>
      <c r="G329" t="s">
        <v>537</v>
      </c>
      <c r="H329" t="s">
        <v>87</v>
      </c>
    </row>
    <row r="330" spans="1:8" x14ac:dyDescent="0.3">
      <c r="A330" t="s">
        <v>842</v>
      </c>
      <c r="B330" t="s">
        <v>389</v>
      </c>
      <c r="C330" t="s">
        <v>0</v>
      </c>
      <c r="D330">
        <v>23.53</v>
      </c>
      <c r="E330" t="s">
        <v>96</v>
      </c>
      <c r="F330" t="s">
        <v>180</v>
      </c>
      <c r="G330" t="s">
        <v>390</v>
      </c>
      <c r="H330" t="s">
        <v>116</v>
      </c>
    </row>
    <row r="331" spans="1:8" x14ac:dyDescent="0.3">
      <c r="A331" t="s">
        <v>843</v>
      </c>
      <c r="B331" t="s">
        <v>489</v>
      </c>
      <c r="C331" t="s">
        <v>0</v>
      </c>
      <c r="D331">
        <v>48.56</v>
      </c>
      <c r="E331" t="s">
        <v>114</v>
      </c>
      <c r="F331" t="s">
        <v>205</v>
      </c>
      <c r="G331" t="s">
        <v>490</v>
      </c>
      <c r="H331" t="s">
        <v>112</v>
      </c>
    </row>
    <row r="332" spans="1:8" x14ac:dyDescent="0.3">
      <c r="A332" t="s">
        <v>844</v>
      </c>
      <c r="B332" t="s">
        <v>723</v>
      </c>
      <c r="C332" t="s">
        <v>0</v>
      </c>
      <c r="D332">
        <v>31.57</v>
      </c>
      <c r="E332" t="s">
        <v>217</v>
      </c>
      <c r="F332" t="s">
        <v>142</v>
      </c>
      <c r="G332" t="s">
        <v>517</v>
      </c>
      <c r="H332" t="s">
        <v>54</v>
      </c>
    </row>
    <row r="333" spans="1:8" x14ac:dyDescent="0.3">
      <c r="A333" t="s">
        <v>845</v>
      </c>
      <c r="B333" t="s">
        <v>724</v>
      </c>
      <c r="C333" t="s">
        <v>0</v>
      </c>
      <c r="D333">
        <v>31.79</v>
      </c>
      <c r="E333" t="s">
        <v>196</v>
      </c>
      <c r="F333" t="s">
        <v>29</v>
      </c>
      <c r="G333" t="s">
        <v>725</v>
      </c>
      <c r="H333" t="s">
        <v>12</v>
      </c>
    </row>
    <row r="334" spans="1:8" x14ac:dyDescent="0.3">
      <c r="A334" t="s">
        <v>846</v>
      </c>
      <c r="B334" t="s">
        <v>570</v>
      </c>
      <c r="C334" t="s">
        <v>0</v>
      </c>
      <c r="D334">
        <v>33.42</v>
      </c>
      <c r="E334" t="s">
        <v>207</v>
      </c>
      <c r="F334" t="s">
        <v>35</v>
      </c>
      <c r="G334" t="s">
        <v>501</v>
      </c>
      <c r="H334" t="s">
        <v>8</v>
      </c>
    </row>
    <row r="335" spans="1:8" x14ac:dyDescent="0.3">
      <c r="A335" t="s">
        <v>847</v>
      </c>
      <c r="B335" t="s">
        <v>726</v>
      </c>
      <c r="C335" t="s">
        <v>0</v>
      </c>
      <c r="D335">
        <v>48.12</v>
      </c>
      <c r="E335" t="s">
        <v>88</v>
      </c>
      <c r="F335" t="s">
        <v>29</v>
      </c>
      <c r="G335" t="s">
        <v>727</v>
      </c>
      <c r="H335" t="s">
        <v>68</v>
      </c>
    </row>
    <row r="336" spans="1:8" x14ac:dyDescent="0.3">
      <c r="A336" t="s">
        <v>848</v>
      </c>
      <c r="B336" t="s">
        <v>410</v>
      </c>
      <c r="C336" t="s">
        <v>0</v>
      </c>
      <c r="D336">
        <v>33.68</v>
      </c>
      <c r="E336" t="s">
        <v>411</v>
      </c>
      <c r="F336" t="s">
        <v>35</v>
      </c>
      <c r="G336" t="s">
        <v>412</v>
      </c>
      <c r="H336" t="s">
        <v>15</v>
      </c>
    </row>
    <row r="337" spans="1:8" x14ac:dyDescent="0.3">
      <c r="A337" t="s">
        <v>849</v>
      </c>
      <c r="B337" t="s">
        <v>728</v>
      </c>
      <c r="C337" t="s">
        <v>0</v>
      </c>
      <c r="D337">
        <v>33.270000000000003</v>
      </c>
      <c r="E337" t="s">
        <v>51</v>
      </c>
      <c r="F337" t="s">
        <v>35</v>
      </c>
      <c r="G337" t="s">
        <v>464</v>
      </c>
      <c r="H337" t="s">
        <v>116</v>
      </c>
    </row>
    <row r="338" spans="1:8" x14ac:dyDescent="0.3">
      <c r="A338" t="s">
        <v>850</v>
      </c>
      <c r="B338" t="s">
        <v>592</v>
      </c>
      <c r="C338" t="s">
        <v>0</v>
      </c>
      <c r="D338">
        <v>25.35</v>
      </c>
      <c r="E338" t="s">
        <v>135</v>
      </c>
      <c r="F338" t="s">
        <v>194</v>
      </c>
      <c r="G338" t="s">
        <v>593</v>
      </c>
      <c r="H338" t="s">
        <v>242</v>
      </c>
    </row>
    <row r="339" spans="1:8" x14ac:dyDescent="0.3">
      <c r="A339" t="s">
        <v>851</v>
      </c>
      <c r="B339" t="s">
        <v>551</v>
      </c>
      <c r="C339" t="s">
        <v>0</v>
      </c>
      <c r="D339">
        <v>28.39</v>
      </c>
      <c r="E339" t="s">
        <v>552</v>
      </c>
      <c r="F339" t="s">
        <v>27</v>
      </c>
      <c r="G339" t="s">
        <v>537</v>
      </c>
      <c r="H339" t="s">
        <v>12</v>
      </c>
    </row>
    <row r="340" spans="1:8" x14ac:dyDescent="0.3">
      <c r="A340" t="s">
        <v>852</v>
      </c>
      <c r="B340" t="s">
        <v>729</v>
      </c>
      <c r="C340" t="s">
        <v>0</v>
      </c>
      <c r="D340">
        <v>24.66</v>
      </c>
      <c r="E340" t="s">
        <v>79</v>
      </c>
      <c r="F340" t="s">
        <v>563</v>
      </c>
      <c r="G340" t="s">
        <v>420</v>
      </c>
      <c r="H340" t="s">
        <v>185</v>
      </c>
    </row>
    <row r="341" spans="1:8" x14ac:dyDescent="0.3">
      <c r="A341" t="s">
        <v>853</v>
      </c>
      <c r="B341" t="s">
        <v>730</v>
      </c>
      <c r="C341" t="s">
        <v>0</v>
      </c>
      <c r="D341">
        <v>7</v>
      </c>
      <c r="E341" t="s">
        <v>164</v>
      </c>
      <c r="F341" t="s">
        <v>30</v>
      </c>
      <c r="G341" t="s">
        <v>731</v>
      </c>
      <c r="H341" t="s">
        <v>145</v>
      </c>
    </row>
    <row r="342" spans="1:8" x14ac:dyDescent="0.3">
      <c r="A342" t="s">
        <v>854</v>
      </c>
      <c r="B342" t="s">
        <v>732</v>
      </c>
      <c r="C342" t="s">
        <v>0</v>
      </c>
      <c r="D342">
        <v>7</v>
      </c>
      <c r="E342" t="s">
        <v>164</v>
      </c>
      <c r="F342" t="s">
        <v>30</v>
      </c>
      <c r="G342" t="s">
        <v>731</v>
      </c>
      <c r="H342" t="s">
        <v>264</v>
      </c>
    </row>
    <row r="343" spans="1:8" x14ac:dyDescent="0.3">
      <c r="A343" t="s">
        <v>855</v>
      </c>
      <c r="B343" t="s">
        <v>733</v>
      </c>
      <c r="C343" t="s">
        <v>0</v>
      </c>
      <c r="D343">
        <v>7</v>
      </c>
      <c r="E343" t="s">
        <v>164</v>
      </c>
      <c r="F343" t="s">
        <v>30</v>
      </c>
      <c r="G343" t="s">
        <v>731</v>
      </c>
      <c r="H343" t="s">
        <v>104</v>
      </c>
    </row>
    <row r="344" spans="1:8" x14ac:dyDescent="0.3">
      <c r="A344" t="s">
        <v>856</v>
      </c>
      <c r="B344" t="s">
        <v>734</v>
      </c>
      <c r="C344" t="s">
        <v>0</v>
      </c>
      <c r="D344">
        <v>7</v>
      </c>
      <c r="E344" t="s">
        <v>164</v>
      </c>
      <c r="F344" t="s">
        <v>30</v>
      </c>
      <c r="G344" t="s">
        <v>731</v>
      </c>
      <c r="H344" t="s">
        <v>104</v>
      </c>
    </row>
    <row r="345" spans="1:8" x14ac:dyDescent="0.3">
      <c r="A345" t="s">
        <v>857</v>
      </c>
      <c r="B345" t="s">
        <v>514</v>
      </c>
      <c r="C345" t="s">
        <v>0</v>
      </c>
      <c r="D345">
        <v>9.36</v>
      </c>
      <c r="E345" t="s">
        <v>249</v>
      </c>
      <c r="F345" t="s">
        <v>30</v>
      </c>
      <c r="G345" t="s">
        <v>515</v>
      </c>
      <c r="H345" t="s">
        <v>246</v>
      </c>
    </row>
    <row r="346" spans="1:8" x14ac:dyDescent="0.3">
      <c r="A346" t="s">
        <v>858</v>
      </c>
      <c r="B346" t="s">
        <v>735</v>
      </c>
      <c r="C346" t="s">
        <v>0</v>
      </c>
      <c r="D346">
        <v>86.27</v>
      </c>
      <c r="E346" t="s">
        <v>535</v>
      </c>
      <c r="F346" t="s">
        <v>297</v>
      </c>
      <c r="G346" t="s">
        <v>736</v>
      </c>
      <c r="H346" t="s">
        <v>259</v>
      </c>
    </row>
    <row r="347" spans="1:8" x14ac:dyDescent="0.3">
      <c r="A347" t="s">
        <v>859</v>
      </c>
      <c r="B347" t="s">
        <v>219</v>
      </c>
      <c r="C347" t="s">
        <v>0</v>
      </c>
      <c r="D347">
        <v>4</v>
      </c>
      <c r="E347" t="s">
        <v>38</v>
      </c>
      <c r="F347" t="s">
        <v>30</v>
      </c>
      <c r="G347" t="s">
        <v>220</v>
      </c>
      <c r="H347" t="s">
        <v>213</v>
      </c>
    </row>
    <row r="348" spans="1:8" x14ac:dyDescent="0.3">
      <c r="A348" t="s">
        <v>860</v>
      </c>
      <c r="B348" t="s">
        <v>245</v>
      </c>
      <c r="C348" t="s">
        <v>0</v>
      </c>
      <c r="D348">
        <v>7</v>
      </c>
      <c r="E348" t="s">
        <v>37</v>
      </c>
      <c r="F348" t="s">
        <v>30</v>
      </c>
      <c r="G348" t="s">
        <v>192</v>
      </c>
      <c r="H348" t="s">
        <v>246</v>
      </c>
    </row>
    <row r="349" spans="1:8" x14ac:dyDescent="0.3">
      <c r="A349" t="s">
        <v>861</v>
      </c>
      <c r="B349" t="s">
        <v>737</v>
      </c>
      <c r="C349" t="s">
        <v>0</v>
      </c>
      <c r="D349">
        <v>14.16</v>
      </c>
      <c r="E349" t="s">
        <v>39</v>
      </c>
      <c r="F349" t="s">
        <v>290</v>
      </c>
      <c r="G349" t="s">
        <v>377</v>
      </c>
      <c r="H349" t="s">
        <v>13</v>
      </c>
    </row>
    <row r="350" spans="1:8" x14ac:dyDescent="0.3">
      <c r="A350" t="s">
        <v>862</v>
      </c>
      <c r="B350" t="s">
        <v>254</v>
      </c>
      <c r="C350" t="s">
        <v>0</v>
      </c>
      <c r="D350">
        <v>70</v>
      </c>
      <c r="E350" t="s">
        <v>255</v>
      </c>
      <c r="F350" t="s">
        <v>256</v>
      </c>
      <c r="G350" t="s">
        <v>156</v>
      </c>
      <c r="H350" t="s">
        <v>148</v>
      </c>
    </row>
    <row r="351" spans="1:8" x14ac:dyDescent="0.3">
      <c r="A351" t="s">
        <v>863</v>
      </c>
      <c r="B351" t="s">
        <v>738</v>
      </c>
      <c r="C351" t="s">
        <v>0</v>
      </c>
      <c r="D351">
        <v>53.92</v>
      </c>
      <c r="E351" t="s">
        <v>462</v>
      </c>
      <c r="F351" t="s">
        <v>29</v>
      </c>
      <c r="G351" t="s">
        <v>320</v>
      </c>
      <c r="H351" t="s">
        <v>54</v>
      </c>
    </row>
    <row r="352" spans="1:8" x14ac:dyDescent="0.3">
      <c r="A352" t="s">
        <v>864</v>
      </c>
      <c r="B352" t="s">
        <v>472</v>
      </c>
      <c r="C352" t="s">
        <v>0</v>
      </c>
      <c r="D352">
        <v>31.28</v>
      </c>
      <c r="E352" t="s">
        <v>149</v>
      </c>
      <c r="F352" t="s">
        <v>473</v>
      </c>
      <c r="G352" t="s">
        <v>428</v>
      </c>
      <c r="H352" t="s">
        <v>112</v>
      </c>
    </row>
    <row r="353" spans="1:8" x14ac:dyDescent="0.3">
      <c r="A353" t="s">
        <v>865</v>
      </c>
      <c r="B353" t="s">
        <v>617</v>
      </c>
      <c r="C353" t="s">
        <v>0</v>
      </c>
      <c r="D353">
        <v>55.19</v>
      </c>
      <c r="E353" t="s">
        <v>207</v>
      </c>
      <c r="F353" t="s">
        <v>29</v>
      </c>
      <c r="G353" t="s">
        <v>401</v>
      </c>
      <c r="H353" t="s">
        <v>15</v>
      </c>
    </row>
    <row r="354" spans="1:8" x14ac:dyDescent="0.3">
      <c r="A354" t="s">
        <v>866</v>
      </c>
      <c r="B354" t="s">
        <v>616</v>
      </c>
      <c r="C354" t="s">
        <v>0</v>
      </c>
      <c r="D354">
        <v>36.01</v>
      </c>
      <c r="E354" t="s">
        <v>28</v>
      </c>
      <c r="F354" t="s">
        <v>29</v>
      </c>
      <c r="G354" t="s">
        <v>424</v>
      </c>
      <c r="H354" t="s">
        <v>393</v>
      </c>
    </row>
    <row r="355" spans="1:8" x14ac:dyDescent="0.3">
      <c r="A355" t="s">
        <v>867</v>
      </c>
      <c r="B355" t="s">
        <v>739</v>
      </c>
      <c r="C355" t="s">
        <v>0</v>
      </c>
      <c r="D355">
        <v>68.16</v>
      </c>
      <c r="E355" t="s">
        <v>475</v>
      </c>
      <c r="F355" t="s">
        <v>29</v>
      </c>
      <c r="G355" t="s">
        <v>740</v>
      </c>
      <c r="H355" t="s">
        <v>82</v>
      </c>
    </row>
    <row r="356" spans="1:8" x14ac:dyDescent="0.3">
      <c r="A356" t="s">
        <v>868</v>
      </c>
      <c r="B356" t="s">
        <v>741</v>
      </c>
      <c r="C356" t="s">
        <v>0</v>
      </c>
      <c r="D356">
        <v>36.69</v>
      </c>
      <c r="E356" t="s">
        <v>250</v>
      </c>
      <c r="F356" t="s">
        <v>40</v>
      </c>
      <c r="G356" t="s">
        <v>385</v>
      </c>
      <c r="H356" t="s">
        <v>14</v>
      </c>
    </row>
    <row r="357" spans="1:8" x14ac:dyDescent="0.3">
      <c r="A357" t="s">
        <v>869</v>
      </c>
      <c r="B357" t="s">
        <v>558</v>
      </c>
      <c r="C357" t="s">
        <v>0</v>
      </c>
      <c r="D357">
        <v>53.31</v>
      </c>
      <c r="E357" t="s">
        <v>467</v>
      </c>
      <c r="F357" t="s">
        <v>29</v>
      </c>
      <c r="G357" t="s">
        <v>342</v>
      </c>
      <c r="H357" t="s">
        <v>100</v>
      </c>
    </row>
    <row r="358" spans="1:8" x14ac:dyDescent="0.3">
      <c r="A358" t="s">
        <v>870</v>
      </c>
      <c r="B358" t="s">
        <v>503</v>
      </c>
      <c r="C358" t="s">
        <v>0</v>
      </c>
      <c r="D358">
        <v>42.03</v>
      </c>
      <c r="E358" t="s">
        <v>84</v>
      </c>
      <c r="F358" t="s">
        <v>91</v>
      </c>
      <c r="G358" t="s">
        <v>504</v>
      </c>
      <c r="H358" t="s">
        <v>181</v>
      </c>
    </row>
    <row r="359" spans="1:8" x14ac:dyDescent="0.3">
      <c r="A359" t="s">
        <v>871</v>
      </c>
      <c r="B359" t="s">
        <v>742</v>
      </c>
      <c r="C359" t="s">
        <v>0</v>
      </c>
      <c r="D359">
        <v>29.7</v>
      </c>
      <c r="E359" t="s">
        <v>38</v>
      </c>
      <c r="F359" t="s">
        <v>29</v>
      </c>
      <c r="G359" t="s">
        <v>743</v>
      </c>
      <c r="H359" t="s">
        <v>168</v>
      </c>
    </row>
    <row r="360" spans="1:8" x14ac:dyDescent="0.3">
      <c r="A360" t="s">
        <v>872</v>
      </c>
      <c r="B360" t="s">
        <v>608</v>
      </c>
      <c r="C360" t="s">
        <v>0</v>
      </c>
      <c r="D360">
        <v>25.86</v>
      </c>
      <c r="E360" t="s">
        <v>281</v>
      </c>
      <c r="F360" t="s">
        <v>62</v>
      </c>
      <c r="G360" t="s">
        <v>609</v>
      </c>
      <c r="H360" t="s">
        <v>136</v>
      </c>
    </row>
    <row r="361" spans="1:8" x14ac:dyDescent="0.3">
      <c r="A361" t="s">
        <v>873</v>
      </c>
      <c r="B361" t="s">
        <v>610</v>
      </c>
      <c r="C361" t="s">
        <v>0</v>
      </c>
      <c r="D361">
        <v>57.9</v>
      </c>
      <c r="E361" t="s">
        <v>39</v>
      </c>
      <c r="F361" t="s">
        <v>29</v>
      </c>
      <c r="G361" t="s">
        <v>594</v>
      </c>
      <c r="H361" t="s">
        <v>89</v>
      </c>
    </row>
    <row r="362" spans="1:8" x14ac:dyDescent="0.3">
      <c r="A362" t="s">
        <v>874</v>
      </c>
      <c r="B362" t="s">
        <v>611</v>
      </c>
      <c r="C362" t="s">
        <v>0</v>
      </c>
      <c r="D362">
        <v>32.72</v>
      </c>
      <c r="E362" t="s">
        <v>248</v>
      </c>
      <c r="F362" t="s">
        <v>72</v>
      </c>
      <c r="G362" t="s">
        <v>471</v>
      </c>
      <c r="H362" t="s">
        <v>185</v>
      </c>
    </row>
    <row r="363" spans="1:8" x14ac:dyDescent="0.3">
      <c r="A363" t="s">
        <v>875</v>
      </c>
      <c r="B363" t="s">
        <v>71</v>
      </c>
      <c r="C363" t="s">
        <v>0</v>
      </c>
      <c r="D363">
        <v>20.69</v>
      </c>
      <c r="E363" t="s">
        <v>43</v>
      </c>
      <c r="F363" t="s">
        <v>72</v>
      </c>
      <c r="G363" t="s">
        <v>73</v>
      </c>
      <c r="H363" t="s">
        <v>74</v>
      </c>
    </row>
    <row r="364" spans="1:8" x14ac:dyDescent="0.3">
      <c r="A364" t="s">
        <v>876</v>
      </c>
      <c r="B364" t="s">
        <v>614</v>
      </c>
      <c r="C364" t="s">
        <v>0</v>
      </c>
      <c r="D364">
        <v>29.65</v>
      </c>
      <c r="E364" t="s">
        <v>108</v>
      </c>
      <c r="F364" t="s">
        <v>226</v>
      </c>
      <c r="G364" t="s">
        <v>519</v>
      </c>
      <c r="H364" t="s">
        <v>112</v>
      </c>
    </row>
    <row r="365" spans="1:8" x14ac:dyDescent="0.3">
      <c r="A365" t="s">
        <v>877</v>
      </c>
      <c r="B365" t="s">
        <v>505</v>
      </c>
      <c r="C365" t="s">
        <v>0</v>
      </c>
      <c r="D365">
        <v>24.68</v>
      </c>
      <c r="E365" t="s">
        <v>387</v>
      </c>
      <c r="F365" t="s">
        <v>188</v>
      </c>
      <c r="G365" t="s">
        <v>506</v>
      </c>
      <c r="H365" t="s">
        <v>15</v>
      </c>
    </row>
    <row r="366" spans="1:8" x14ac:dyDescent="0.3">
      <c r="A366" t="s">
        <v>878</v>
      </c>
      <c r="B366" t="s">
        <v>583</v>
      </c>
      <c r="C366" t="s">
        <v>0</v>
      </c>
      <c r="D366">
        <v>82.54</v>
      </c>
      <c r="E366" t="s">
        <v>300</v>
      </c>
      <c r="F366" t="s">
        <v>584</v>
      </c>
      <c r="G366" t="s">
        <v>585</v>
      </c>
      <c r="H366" t="s">
        <v>150</v>
      </c>
    </row>
    <row r="367" spans="1:8" x14ac:dyDescent="0.3">
      <c r="A367" t="s">
        <v>879</v>
      </c>
      <c r="B367" t="s">
        <v>265</v>
      </c>
      <c r="C367" t="s">
        <v>0</v>
      </c>
      <c r="D367">
        <v>47.49</v>
      </c>
      <c r="E367" t="s">
        <v>266</v>
      </c>
      <c r="F367" t="s">
        <v>27</v>
      </c>
      <c r="G367" t="s">
        <v>102</v>
      </c>
      <c r="H367" t="s">
        <v>172</v>
      </c>
    </row>
    <row r="368" spans="1:8" x14ac:dyDescent="0.3">
      <c r="A368" t="s">
        <v>880</v>
      </c>
      <c r="B368" t="s">
        <v>538</v>
      </c>
      <c r="C368" t="s">
        <v>0</v>
      </c>
      <c r="D368">
        <v>35.94</v>
      </c>
      <c r="E368" t="s">
        <v>46</v>
      </c>
      <c r="F368" t="s">
        <v>188</v>
      </c>
      <c r="G368" t="s">
        <v>539</v>
      </c>
      <c r="H368" t="s">
        <v>112</v>
      </c>
    </row>
    <row r="369" spans="1:8" x14ac:dyDescent="0.3">
      <c r="A369" t="s">
        <v>881</v>
      </c>
      <c r="B369" t="s">
        <v>618</v>
      </c>
      <c r="C369" t="s">
        <v>0</v>
      </c>
      <c r="D369">
        <v>20.62</v>
      </c>
      <c r="E369" t="s">
        <v>128</v>
      </c>
      <c r="F369" t="s">
        <v>35</v>
      </c>
      <c r="G369" t="s">
        <v>574</v>
      </c>
      <c r="H369" t="s">
        <v>145</v>
      </c>
    </row>
    <row r="370" spans="1:8" x14ac:dyDescent="0.3">
      <c r="A370" t="s">
        <v>619</v>
      </c>
      <c r="B370" t="s">
        <v>620</v>
      </c>
      <c r="C370" t="s">
        <v>0</v>
      </c>
      <c r="D370">
        <v>18.899999999999999</v>
      </c>
      <c r="E370" t="s">
        <v>139</v>
      </c>
      <c r="F370" t="s">
        <v>30</v>
      </c>
      <c r="G370" t="s">
        <v>137</v>
      </c>
      <c r="H370" t="s">
        <v>61</v>
      </c>
    </row>
    <row r="371" spans="1:8" x14ac:dyDescent="0.3">
      <c r="A371" t="s">
        <v>882</v>
      </c>
      <c r="B371" t="s">
        <v>520</v>
      </c>
      <c r="C371" t="s">
        <v>0</v>
      </c>
      <c r="D371">
        <v>37.51</v>
      </c>
      <c r="E371" t="s">
        <v>37</v>
      </c>
      <c r="F371" t="s">
        <v>29</v>
      </c>
      <c r="G371" t="s">
        <v>521</v>
      </c>
      <c r="H371" t="s">
        <v>104</v>
      </c>
    </row>
    <row r="372" spans="1:8" x14ac:dyDescent="0.3">
      <c r="A372" t="s">
        <v>883</v>
      </c>
      <c r="B372" t="s">
        <v>621</v>
      </c>
      <c r="C372" t="s">
        <v>0</v>
      </c>
      <c r="D372">
        <v>6</v>
      </c>
      <c r="E372" t="s">
        <v>38</v>
      </c>
      <c r="F372" t="s">
        <v>33</v>
      </c>
      <c r="G372" t="s">
        <v>227</v>
      </c>
      <c r="H372" t="s">
        <v>145</v>
      </c>
    </row>
    <row r="373" spans="1:8" x14ac:dyDescent="0.3">
      <c r="A373" t="s">
        <v>884</v>
      </c>
      <c r="B373" t="s">
        <v>622</v>
      </c>
      <c r="C373" t="s">
        <v>0</v>
      </c>
      <c r="D373">
        <v>28.17</v>
      </c>
      <c r="E373" t="s">
        <v>34</v>
      </c>
      <c r="F373" t="s">
        <v>95</v>
      </c>
      <c r="G373" t="s">
        <v>502</v>
      </c>
      <c r="H373" t="s">
        <v>386</v>
      </c>
    </row>
    <row r="374" spans="1:8" x14ac:dyDescent="0.3">
      <c r="A374" t="s">
        <v>885</v>
      </c>
      <c r="B374" t="s">
        <v>623</v>
      </c>
      <c r="C374" t="s">
        <v>0</v>
      </c>
      <c r="D374">
        <v>62.88</v>
      </c>
      <c r="E374" t="s">
        <v>37</v>
      </c>
      <c r="F374" t="s">
        <v>29</v>
      </c>
      <c r="G374" t="s">
        <v>229</v>
      </c>
      <c r="H374" t="s">
        <v>20</v>
      </c>
    </row>
    <row r="375" spans="1:8" x14ac:dyDescent="0.3">
      <c r="A375" t="s">
        <v>886</v>
      </c>
      <c r="B375" t="s">
        <v>624</v>
      </c>
      <c r="C375" t="s">
        <v>0</v>
      </c>
      <c r="D375">
        <v>43.82</v>
      </c>
      <c r="E375" t="s">
        <v>143</v>
      </c>
      <c r="F375" t="s">
        <v>95</v>
      </c>
      <c r="G375" t="s">
        <v>388</v>
      </c>
      <c r="H375" t="s">
        <v>15</v>
      </c>
    </row>
    <row r="376" spans="1:8" x14ac:dyDescent="0.3">
      <c r="A376" t="s">
        <v>887</v>
      </c>
      <c r="B376" t="s">
        <v>625</v>
      </c>
      <c r="C376" t="s">
        <v>0</v>
      </c>
      <c r="D376">
        <v>5</v>
      </c>
      <c r="E376" t="s">
        <v>108</v>
      </c>
      <c r="F376" t="s">
        <v>33</v>
      </c>
      <c r="G376" t="s">
        <v>484</v>
      </c>
      <c r="H376" t="s">
        <v>270</v>
      </c>
    </row>
    <row r="377" spans="1:8" x14ac:dyDescent="0.3">
      <c r="A377" t="s">
        <v>888</v>
      </c>
      <c r="B377" t="s">
        <v>626</v>
      </c>
      <c r="C377" t="s">
        <v>0</v>
      </c>
      <c r="D377">
        <v>5</v>
      </c>
      <c r="E377" t="s">
        <v>108</v>
      </c>
      <c r="F377" t="s">
        <v>33</v>
      </c>
      <c r="G377" t="s">
        <v>484</v>
      </c>
      <c r="H377" t="s">
        <v>270</v>
      </c>
    </row>
    <row r="378" spans="1:8" x14ac:dyDescent="0.3">
      <c r="A378" t="s">
        <v>889</v>
      </c>
      <c r="B378" t="s">
        <v>433</v>
      </c>
      <c r="C378" t="s">
        <v>0</v>
      </c>
      <c r="D378">
        <v>11.34</v>
      </c>
      <c r="E378" t="s">
        <v>34</v>
      </c>
      <c r="F378" t="s">
        <v>30</v>
      </c>
      <c r="G378" t="s">
        <v>434</v>
      </c>
      <c r="H378" t="s">
        <v>104</v>
      </c>
    </row>
    <row r="379" spans="1:8" x14ac:dyDescent="0.3">
      <c r="A379" t="s">
        <v>890</v>
      </c>
      <c r="B379" t="s">
        <v>75</v>
      </c>
      <c r="C379" t="s">
        <v>0</v>
      </c>
      <c r="D379">
        <v>46.75</v>
      </c>
      <c r="E379" t="s">
        <v>76</v>
      </c>
      <c r="F379" t="s">
        <v>27</v>
      </c>
      <c r="G379" t="s">
        <v>77</v>
      </c>
      <c r="H379" t="s">
        <v>78</v>
      </c>
    </row>
    <row r="380" spans="1:8" x14ac:dyDescent="0.3">
      <c r="A380" t="s">
        <v>891</v>
      </c>
      <c r="B380" t="s">
        <v>439</v>
      </c>
      <c r="C380" t="s">
        <v>0</v>
      </c>
      <c r="D380">
        <v>45.8</v>
      </c>
      <c r="E380" t="s">
        <v>440</v>
      </c>
      <c r="F380" t="s">
        <v>72</v>
      </c>
      <c r="G380" t="s">
        <v>441</v>
      </c>
      <c r="H380" t="s">
        <v>112</v>
      </c>
    </row>
    <row r="381" spans="1:8" x14ac:dyDescent="0.3">
      <c r="A381" t="s">
        <v>892</v>
      </c>
      <c r="B381" t="s">
        <v>627</v>
      </c>
      <c r="C381" t="s">
        <v>0</v>
      </c>
      <c r="D381">
        <v>31.54</v>
      </c>
      <c r="E381" t="s">
        <v>324</v>
      </c>
      <c r="F381" t="s">
        <v>35</v>
      </c>
      <c r="G381" t="s">
        <v>346</v>
      </c>
      <c r="H381" t="s">
        <v>283</v>
      </c>
    </row>
    <row r="382" spans="1:8" x14ac:dyDescent="0.3">
      <c r="A382" t="s">
        <v>893</v>
      </c>
      <c r="B382" t="s">
        <v>628</v>
      </c>
      <c r="C382" t="s">
        <v>0</v>
      </c>
      <c r="D382">
        <v>136.01</v>
      </c>
      <c r="E382" t="s">
        <v>442</v>
      </c>
      <c r="F382" t="s">
        <v>93</v>
      </c>
      <c r="G382" t="s">
        <v>536</v>
      </c>
      <c r="H382" t="s">
        <v>282</v>
      </c>
    </row>
    <row r="383" spans="1:8" x14ac:dyDescent="0.3">
      <c r="A383" t="s">
        <v>894</v>
      </c>
      <c r="B383" t="s">
        <v>629</v>
      </c>
      <c r="C383" t="s">
        <v>0</v>
      </c>
      <c r="D383">
        <v>33.15</v>
      </c>
      <c r="E383" t="s">
        <v>53</v>
      </c>
      <c r="F383" t="s">
        <v>40</v>
      </c>
      <c r="G383" t="s">
        <v>274</v>
      </c>
      <c r="H383" t="s">
        <v>22</v>
      </c>
    </row>
    <row r="384" spans="1:8" x14ac:dyDescent="0.3">
      <c r="A384" t="s">
        <v>895</v>
      </c>
      <c r="B384" t="s">
        <v>391</v>
      </c>
      <c r="C384" t="s">
        <v>0</v>
      </c>
      <c r="D384">
        <v>27.35</v>
      </c>
      <c r="E384" t="s">
        <v>240</v>
      </c>
      <c r="F384" t="s">
        <v>35</v>
      </c>
      <c r="G384" t="s">
        <v>392</v>
      </c>
      <c r="H384" t="s">
        <v>393</v>
      </c>
    </row>
    <row r="385" spans="1:8" x14ac:dyDescent="0.3">
      <c r="A385" t="s">
        <v>896</v>
      </c>
      <c r="B385" t="s">
        <v>455</v>
      </c>
      <c r="C385" t="s">
        <v>0</v>
      </c>
      <c r="D385">
        <v>69.599999999999994</v>
      </c>
      <c r="E385" t="s">
        <v>630</v>
      </c>
      <c r="F385" t="s">
        <v>456</v>
      </c>
      <c r="G385" t="s">
        <v>457</v>
      </c>
      <c r="H385" t="s">
        <v>228</v>
      </c>
    </row>
    <row r="386" spans="1:8" x14ac:dyDescent="0.3">
      <c r="A386" t="s">
        <v>897</v>
      </c>
      <c r="B386" t="s">
        <v>545</v>
      </c>
      <c r="C386" t="s">
        <v>0</v>
      </c>
      <c r="D386">
        <v>2.2000000000000002</v>
      </c>
      <c r="E386" t="s">
        <v>108</v>
      </c>
      <c r="F386" t="s">
        <v>197</v>
      </c>
      <c r="G386" t="s">
        <v>495</v>
      </c>
      <c r="H386" t="s">
        <v>21</v>
      </c>
    </row>
    <row r="387" spans="1:8" x14ac:dyDescent="0.3">
      <c r="A387" t="s">
        <v>898</v>
      </c>
      <c r="B387" t="s">
        <v>494</v>
      </c>
      <c r="C387" t="s">
        <v>0</v>
      </c>
      <c r="D387">
        <v>2.2000000000000002</v>
      </c>
      <c r="E387" t="s">
        <v>108</v>
      </c>
      <c r="F387" t="s">
        <v>197</v>
      </c>
      <c r="G387" t="s">
        <v>495</v>
      </c>
      <c r="H387" t="s">
        <v>21</v>
      </c>
    </row>
    <row r="388" spans="1:8" x14ac:dyDescent="0.3">
      <c r="A388" t="s">
        <v>899</v>
      </c>
      <c r="B388" t="s">
        <v>744</v>
      </c>
      <c r="C388" t="s">
        <v>0</v>
      </c>
      <c r="D388">
        <v>23.78</v>
      </c>
      <c r="E388" t="s">
        <v>108</v>
      </c>
      <c r="F388" t="s">
        <v>95</v>
      </c>
      <c r="G388" t="s">
        <v>190</v>
      </c>
      <c r="H388" t="s">
        <v>168</v>
      </c>
    </row>
    <row r="389" spans="1:8" x14ac:dyDescent="0.3">
      <c r="A389" t="s">
        <v>900</v>
      </c>
      <c r="B389" t="s">
        <v>530</v>
      </c>
      <c r="C389" t="s">
        <v>0</v>
      </c>
      <c r="D389">
        <v>53.73</v>
      </c>
      <c r="E389" t="s">
        <v>210</v>
      </c>
      <c r="F389" t="s">
        <v>27</v>
      </c>
      <c r="G389" t="s">
        <v>531</v>
      </c>
      <c r="H389" t="s">
        <v>18</v>
      </c>
    </row>
    <row r="390" spans="1:8" x14ac:dyDescent="0.3">
      <c r="A390" t="s">
        <v>901</v>
      </c>
      <c r="B390" t="s">
        <v>532</v>
      </c>
      <c r="C390" t="s">
        <v>0</v>
      </c>
      <c r="D390">
        <v>53.73</v>
      </c>
      <c r="E390" t="s">
        <v>169</v>
      </c>
      <c r="F390" t="s">
        <v>27</v>
      </c>
      <c r="G390" t="s">
        <v>531</v>
      </c>
      <c r="H390" t="s">
        <v>18</v>
      </c>
    </row>
    <row r="391" spans="1:8" x14ac:dyDescent="0.3">
      <c r="A391" t="s">
        <v>902</v>
      </c>
      <c r="B391" t="s">
        <v>603</v>
      </c>
      <c r="C391" t="s">
        <v>0</v>
      </c>
      <c r="D391">
        <v>28.28</v>
      </c>
      <c r="E391" t="s">
        <v>248</v>
      </c>
      <c r="F391" t="s">
        <v>72</v>
      </c>
      <c r="G391" t="s">
        <v>466</v>
      </c>
      <c r="H391" t="s">
        <v>52</v>
      </c>
    </row>
    <row r="392" spans="1:8" x14ac:dyDescent="0.3">
      <c r="A392" t="s">
        <v>903</v>
      </c>
      <c r="B392" t="s">
        <v>284</v>
      </c>
      <c r="C392" t="s">
        <v>0</v>
      </c>
      <c r="D392">
        <v>43.82</v>
      </c>
      <c r="E392" t="s">
        <v>98</v>
      </c>
      <c r="F392" t="s">
        <v>35</v>
      </c>
      <c r="G392" t="s">
        <v>186</v>
      </c>
      <c r="H392" t="s">
        <v>221</v>
      </c>
    </row>
    <row r="393" spans="1:8" x14ac:dyDescent="0.3">
      <c r="A393" t="s">
        <v>904</v>
      </c>
      <c r="B393" t="s">
        <v>600</v>
      </c>
      <c r="C393" t="s">
        <v>0</v>
      </c>
      <c r="D393">
        <v>90.42</v>
      </c>
      <c r="E393" t="s">
        <v>486</v>
      </c>
      <c r="F393" t="s">
        <v>27</v>
      </c>
      <c r="G393" t="s">
        <v>601</v>
      </c>
      <c r="H393" t="s">
        <v>119</v>
      </c>
    </row>
    <row r="394" spans="1:8" x14ac:dyDescent="0.3">
      <c r="A394" t="s">
        <v>905</v>
      </c>
      <c r="B394" t="s">
        <v>287</v>
      </c>
      <c r="C394" t="s">
        <v>0</v>
      </c>
      <c r="D394">
        <v>118.22</v>
      </c>
      <c r="E394" t="s">
        <v>230</v>
      </c>
      <c r="F394" t="s">
        <v>288</v>
      </c>
      <c r="G394" t="s">
        <v>289</v>
      </c>
      <c r="H394" t="s">
        <v>80</v>
      </c>
    </row>
    <row r="395" spans="1:8" x14ac:dyDescent="0.3">
      <c r="A395" t="s">
        <v>906</v>
      </c>
      <c r="B395" t="s">
        <v>590</v>
      </c>
      <c r="C395" t="s">
        <v>0</v>
      </c>
      <c r="D395">
        <v>68.92</v>
      </c>
      <c r="E395" t="s">
        <v>70</v>
      </c>
      <c r="F395" t="s">
        <v>29</v>
      </c>
      <c r="G395" t="s">
        <v>591</v>
      </c>
      <c r="H395" t="s">
        <v>14</v>
      </c>
    </row>
    <row r="396" spans="1:8" x14ac:dyDescent="0.3">
      <c r="A396" t="s">
        <v>907</v>
      </c>
      <c r="B396" t="s">
        <v>498</v>
      </c>
      <c r="C396" t="s">
        <v>0</v>
      </c>
      <c r="D396">
        <v>33.56</v>
      </c>
      <c r="E396" t="s">
        <v>235</v>
      </c>
      <c r="F396" t="s">
        <v>35</v>
      </c>
      <c r="G396" t="s">
        <v>499</v>
      </c>
      <c r="H396" t="s">
        <v>50</v>
      </c>
    </row>
    <row r="397" spans="1:8" x14ac:dyDescent="0.3">
      <c r="A397" t="s">
        <v>522</v>
      </c>
      <c r="B397" t="s">
        <v>523</v>
      </c>
      <c r="C397" t="s">
        <v>0</v>
      </c>
      <c r="D397">
        <v>27.7</v>
      </c>
      <c r="E397" t="s">
        <v>81</v>
      </c>
      <c r="F397" t="s">
        <v>30</v>
      </c>
      <c r="G397" t="s">
        <v>524</v>
      </c>
      <c r="H397" t="s">
        <v>525</v>
      </c>
    </row>
    <row r="398" spans="1:8" x14ac:dyDescent="0.3">
      <c r="A398" t="s">
        <v>908</v>
      </c>
      <c r="B398" t="s">
        <v>165</v>
      </c>
      <c r="C398" t="s">
        <v>0</v>
      </c>
      <c r="D398">
        <v>43.28</v>
      </c>
      <c r="E398" t="s">
        <v>117</v>
      </c>
      <c r="F398" t="s">
        <v>29</v>
      </c>
      <c r="G398" t="s">
        <v>166</v>
      </c>
      <c r="H398" t="s">
        <v>4</v>
      </c>
    </row>
    <row r="399" spans="1:8" x14ac:dyDescent="0.3">
      <c r="A399" t="s">
        <v>909</v>
      </c>
      <c r="B399" t="s">
        <v>631</v>
      </c>
      <c r="C399" t="s">
        <v>0</v>
      </c>
      <c r="D399">
        <v>61.86</v>
      </c>
      <c r="E399" t="s">
        <v>300</v>
      </c>
      <c r="F399" t="s">
        <v>632</v>
      </c>
      <c r="G399" t="s">
        <v>633</v>
      </c>
      <c r="H399" t="s">
        <v>115</v>
      </c>
    </row>
    <row r="400" spans="1:8" x14ac:dyDescent="0.3">
      <c r="A400" t="s">
        <v>910</v>
      </c>
      <c r="B400" t="s">
        <v>16</v>
      </c>
      <c r="C400" t="s">
        <v>0</v>
      </c>
      <c r="D400">
        <v>26.06</v>
      </c>
      <c r="E400" t="s">
        <v>37</v>
      </c>
      <c r="F400" t="s">
        <v>35</v>
      </c>
      <c r="G400" t="s">
        <v>17</v>
      </c>
      <c r="H400" t="s">
        <v>18</v>
      </c>
    </row>
    <row r="401" spans="1:8" x14ac:dyDescent="0.3">
      <c r="A401" t="s">
        <v>911</v>
      </c>
      <c r="B401" t="s">
        <v>384</v>
      </c>
      <c r="C401" t="s">
        <v>0</v>
      </c>
      <c r="D401">
        <v>101.44</v>
      </c>
      <c r="E401" t="s">
        <v>279</v>
      </c>
      <c r="F401" t="s">
        <v>40</v>
      </c>
      <c r="G401" t="s">
        <v>335</v>
      </c>
      <c r="H401" t="s">
        <v>157</v>
      </c>
    </row>
  </sheetData>
  <phoneticPr fontId="1" type="noConversion"/>
  <conditionalFormatting sqref="D24:D28">
    <cfRule type="top10" dxfId="10" priority="5" percent="1" bottom="1" rank="1"/>
    <cfRule type="top10" dxfId="9" priority="8" percent="1" rank="1"/>
  </conditionalFormatting>
  <conditionalFormatting sqref="E24:E28">
    <cfRule type="top10" dxfId="8" priority="3" percent="1" bottom="1" rank="1"/>
    <cfRule type="top10" dxfId="7" priority="4" percent="1" rank="1"/>
  </conditionalFormatting>
  <conditionalFormatting sqref="F24:F28">
    <cfRule type="top10" dxfId="6" priority="1" percent="1" bottom="1" rank="1"/>
    <cfRule type="top10" dxfId="5" priority="2" percent="1" rank="1"/>
  </conditionalFormatting>
  <hyperlinks>
    <hyperlink ref="Y23" r:id="rId1" xr:uid="{7B2082F4-F47D-46B5-B10C-E0AE0BFC0427}"/>
    <hyperlink ref="Y24" r:id="rId2" xr:uid="{3AF4F887-36BB-4C7F-A36D-A3EEB1115E9D}"/>
    <hyperlink ref="Y25" r:id="rId3" xr:uid="{1793741C-BB65-46A2-8060-B73D7C65CB36}"/>
    <hyperlink ref="Y26" r:id="rId4" xr:uid="{2C02AE40-FC93-4496-A09A-2D0A6D9B5111}"/>
    <hyperlink ref="Y27" r:id="rId5" xr:uid="{00F368C4-8CDA-4D79-877D-4CA69400555C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8" name="cmdSearch">
              <controlPr defaultSize="0" autoFill="0" autoPict="0" macro="[0]!click_search">
                <anchor moveWithCells="1" sizeWithCells="1">
                  <from>
                    <xdr:col>30</xdr:col>
                    <xdr:colOff>327660</xdr:colOff>
                    <xdr:row>17</xdr:row>
                    <xdr:rowOff>106680</xdr:rowOff>
                  </from>
                  <to>
                    <xdr:col>31</xdr:col>
                    <xdr:colOff>609600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9" name="chkBath">
              <controlPr defaultSize="0" autoFill="0" autoLine="0" autoPict="0">
                <anchor moveWithCells="1">
                  <from>
                    <xdr:col>29</xdr:col>
                    <xdr:colOff>1729740</xdr:colOff>
                    <xdr:row>15</xdr:row>
                    <xdr:rowOff>53340</xdr:rowOff>
                  </from>
                  <to>
                    <xdr:col>29</xdr:col>
                    <xdr:colOff>2476500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0" name="chkHall">
              <controlPr defaultSize="0" autoFill="0" autoLine="0" autoPict="0">
                <anchor moveWithCells="1">
                  <from>
                    <xdr:col>30</xdr:col>
                    <xdr:colOff>662940</xdr:colOff>
                    <xdr:row>15</xdr:row>
                    <xdr:rowOff>53340</xdr:rowOff>
                  </from>
                  <to>
                    <xdr:col>31</xdr:col>
                    <xdr:colOff>609600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1" name="cmbRoom">
              <controlPr defaultSize="0" autoLine="0" autoPict="0">
                <anchor moveWithCells="1">
                  <from>
                    <xdr:col>29</xdr:col>
                    <xdr:colOff>1775460</xdr:colOff>
                    <xdr:row>13</xdr:row>
                    <xdr:rowOff>76200</xdr:rowOff>
                  </from>
                  <to>
                    <xdr:col>29</xdr:col>
                    <xdr:colOff>2667000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2" name="Drop Down 6">
              <controlPr defaultSize="0" autoLine="0" autoPict="0">
                <anchor moveWithCells="1">
                  <from>
                    <xdr:col>24</xdr:col>
                    <xdr:colOff>1744980</xdr:colOff>
                    <xdr:row>17</xdr:row>
                    <xdr:rowOff>53340</xdr:rowOff>
                  </from>
                  <to>
                    <xdr:col>26</xdr:col>
                    <xdr:colOff>350520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3" name="Drop Down 8">
              <controlPr defaultSize="0" autoLine="0" autoPict="0">
                <anchor moveWithCells="1">
                  <from>
                    <xdr:col>24</xdr:col>
                    <xdr:colOff>1737360</xdr:colOff>
                    <xdr:row>17</xdr:row>
                    <xdr:rowOff>60960</xdr:rowOff>
                  </from>
                  <to>
                    <xdr:col>26</xdr:col>
                    <xdr:colOff>403860</xdr:colOff>
                    <xdr:row>18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3</vt:i4>
      </vt:variant>
    </vt:vector>
  </HeadingPairs>
  <TitlesOfParts>
    <vt:vector size="8" baseType="lpstr">
      <vt:lpstr>原始資料</vt:lpstr>
      <vt:lpstr>區隔</vt:lpstr>
      <vt:lpstr>filter table</vt:lpstr>
      <vt:lpstr>Pivot table</vt:lpstr>
      <vt:lpstr>視覺化</vt:lpstr>
      <vt:lpstr>source_data</vt:lpstr>
      <vt:lpstr>tbl_rent</vt:lpstr>
      <vt:lpstr>tblRent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yaozu ting</dc:creator>
  <cp:lastModifiedBy>yaozu ting</cp:lastModifiedBy>
  <dcterms:created xsi:type="dcterms:W3CDTF">2025-12-20T16:22:10Z</dcterms:created>
  <dcterms:modified xsi:type="dcterms:W3CDTF">2026-05-14T12:14:25Z</dcterms:modified>
</cp:coreProperties>
</file>